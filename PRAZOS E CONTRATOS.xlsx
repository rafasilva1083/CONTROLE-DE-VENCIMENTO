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CSILVA\Desktop\github\"/>
    </mc:Choice>
  </mc:AlternateContent>
  <xr:revisionPtr revIDLastSave="0" documentId="13_ncr:1_{AF5A496C-AE38-4C60-9889-25EBCC638AA6}" xr6:coauthVersionLast="47" xr6:coauthVersionMax="47" xr10:uidLastSave="{00000000-0000-0000-0000-000000000000}"/>
  <bookViews>
    <workbookView xWindow="-120" yWindow="-120" windowWidth="21840" windowHeight="13140" tabRatio="575" xr2:uid="{44048294-9D9A-45B0-8719-DB162785A748}"/>
  </bookViews>
  <sheets>
    <sheet name="ANALISE DE DADOS" sheetId="4" r:id="rId1"/>
    <sheet name="CONTROLE CONTRATOS " sheetId="1" r:id="rId2"/>
    <sheet name="CONTROLE  ADMINISTRATIVO" sheetId="3" r:id="rId3"/>
    <sheet name="CONSULTA VENCIMENTO VEICULAR" sheetId="6" r:id="rId4"/>
    <sheet name="CADASTRO" sheetId="2" r:id="rId5"/>
  </sheets>
  <definedNames>
    <definedName name="_xlnm.Print_Area" localSheetId="1">'CONTROLE CONTRATOS '!$A$2:$F$81</definedName>
    <definedName name="SegmentaçãodeDados_STATUS_COLABORADOR">#N/A</definedName>
    <definedName name="SegmentaçãodeDados_TIPO_DO_DOC">#N/A</definedName>
  </definedNames>
  <calcPr calcId="191029"/>
  <pivotCaches>
    <pivotCache cacheId="65" r:id="rId6"/>
    <pivotCache cacheId="7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E4" i="6"/>
  <c r="F4" i="6" s="1"/>
  <c r="H4" i="6" s="1"/>
  <c r="G4" i="6"/>
  <c r="D4" i="6" s="1"/>
  <c r="D5" i="6"/>
  <c r="D12" i="6"/>
  <c r="D13" i="6"/>
  <c r="K20" i="6" l="1"/>
  <c r="I20" i="6" s="1"/>
  <c r="K21" i="6"/>
  <c r="I21" i="6" s="1"/>
  <c r="K22" i="6"/>
  <c r="K23" i="6"/>
  <c r="I23" i="6" s="1"/>
  <c r="K24" i="6"/>
  <c r="I24" i="6" s="1"/>
  <c r="K25" i="6"/>
  <c r="I25" i="6" s="1"/>
  <c r="K26" i="6"/>
  <c r="K27" i="6"/>
  <c r="I27" i="6" s="1"/>
  <c r="K28" i="6"/>
  <c r="I28" i="6" s="1"/>
  <c r="I22" i="6"/>
  <c r="I26" i="6"/>
  <c r="G20" i="6"/>
  <c r="G21" i="6"/>
  <c r="G22" i="6"/>
  <c r="G23" i="6"/>
  <c r="G24" i="6"/>
  <c r="G25" i="6"/>
  <c r="G26" i="6"/>
  <c r="G27" i="6"/>
  <c r="G28" i="6"/>
  <c r="E20" i="6"/>
  <c r="F20" i="6" s="1"/>
  <c r="H20" i="6" s="1"/>
  <c r="J20" i="6" s="1"/>
  <c r="E21" i="6"/>
  <c r="F21" i="6" s="1"/>
  <c r="H21" i="6" s="1"/>
  <c r="J21" i="6" s="1"/>
  <c r="E22" i="6"/>
  <c r="F22" i="6" s="1"/>
  <c r="H22" i="6" s="1"/>
  <c r="J22" i="6" s="1"/>
  <c r="E23" i="6"/>
  <c r="F23" i="6" s="1"/>
  <c r="H23" i="6" s="1"/>
  <c r="J23" i="6" s="1"/>
  <c r="E24" i="6"/>
  <c r="F24" i="6" s="1"/>
  <c r="H24" i="6" s="1"/>
  <c r="J24" i="6" s="1"/>
  <c r="E25" i="6"/>
  <c r="F25" i="6" s="1"/>
  <c r="H25" i="6" s="1"/>
  <c r="J25" i="6" s="1"/>
  <c r="E26" i="6"/>
  <c r="F26" i="6" s="1"/>
  <c r="H26" i="6" s="1"/>
  <c r="J26" i="6" s="1"/>
  <c r="E27" i="6"/>
  <c r="F27" i="6" s="1"/>
  <c r="H27" i="6" s="1"/>
  <c r="J27" i="6" s="1"/>
  <c r="E28" i="6"/>
  <c r="F28" i="6" s="1"/>
  <c r="H28" i="6" s="1"/>
  <c r="J28" i="6" s="1"/>
  <c r="K5" i="6"/>
  <c r="I5" i="6" s="1"/>
  <c r="K6" i="6"/>
  <c r="I6" i="6" s="1"/>
  <c r="K7" i="6"/>
  <c r="K8" i="6"/>
  <c r="K9" i="6"/>
  <c r="K10" i="6"/>
  <c r="K11" i="6"/>
  <c r="K12" i="6"/>
  <c r="I12" i="6" s="1"/>
  <c r="K13" i="6"/>
  <c r="I13" i="6" s="1"/>
  <c r="G5" i="6"/>
  <c r="G6" i="6"/>
  <c r="G7" i="6"/>
  <c r="G8" i="6"/>
  <c r="G9" i="6"/>
  <c r="G10" i="6"/>
  <c r="G11" i="6"/>
  <c r="G12" i="6"/>
  <c r="G13" i="6"/>
  <c r="E5" i="6"/>
  <c r="F5" i="6" s="1"/>
  <c r="H5" i="6" s="1"/>
  <c r="J5" i="6" s="1"/>
  <c r="E6" i="6"/>
  <c r="F6" i="6" s="1"/>
  <c r="H6" i="6" s="1"/>
  <c r="J6" i="6" s="1"/>
  <c r="D6" i="6" s="1"/>
  <c r="E7" i="6"/>
  <c r="F7" i="6" s="1"/>
  <c r="H7" i="6" s="1"/>
  <c r="J7" i="6" s="1"/>
  <c r="E8" i="6"/>
  <c r="F8" i="6" s="1"/>
  <c r="H8" i="6" s="1"/>
  <c r="J8" i="6" s="1"/>
  <c r="E9" i="6"/>
  <c r="F9" i="6" s="1"/>
  <c r="H9" i="6" s="1"/>
  <c r="J9" i="6" s="1"/>
  <c r="E10" i="6"/>
  <c r="F10" i="6" s="1"/>
  <c r="H10" i="6" s="1"/>
  <c r="J10" i="6" s="1"/>
  <c r="E11" i="6"/>
  <c r="F11" i="6" s="1"/>
  <c r="H11" i="6" s="1"/>
  <c r="J11" i="6" s="1"/>
  <c r="E12" i="6"/>
  <c r="F12" i="6" s="1"/>
  <c r="H12" i="6" s="1"/>
  <c r="J12" i="6" s="1"/>
  <c r="E13" i="6"/>
  <c r="F13" i="6" s="1"/>
  <c r="H13" i="6" s="1"/>
  <c r="J13" i="6" s="1"/>
  <c r="R1" i="6"/>
  <c r="L12" i="6"/>
  <c r="L13" i="6"/>
  <c r="D21" i="6"/>
  <c r="L21" i="6" s="1"/>
  <c r="D22" i="6"/>
  <c r="L22" i="6" s="1"/>
  <c r="D23" i="6"/>
  <c r="L23" i="6" s="1"/>
  <c r="D24" i="6"/>
  <c r="L24" i="6" s="1"/>
  <c r="D25" i="6"/>
  <c r="L25" i="6" s="1"/>
  <c r="D26" i="6"/>
  <c r="L26" i="6" s="1"/>
  <c r="D27" i="6"/>
  <c r="L27" i="6" s="1"/>
  <c r="D28" i="6"/>
  <c r="L28" i="6" s="1"/>
  <c r="K19" i="6"/>
  <c r="I19" i="6" s="1"/>
  <c r="G19" i="6"/>
  <c r="E19" i="6"/>
  <c r="F19" i="6" s="1"/>
  <c r="H19" i="6" s="1"/>
  <c r="J19" i="6" s="1"/>
  <c r="K4" i="6"/>
  <c r="I4" i="6" s="1"/>
  <c r="J4" i="6"/>
  <c r="I10" i="6" l="1"/>
  <c r="D10" i="6"/>
  <c r="L10" i="6" s="1"/>
  <c r="I9" i="6"/>
  <c r="D9" i="6"/>
  <c r="L9" i="6" s="1"/>
  <c r="I8" i="6"/>
  <c r="D8" i="6"/>
  <c r="L8" i="6" s="1"/>
  <c r="I7" i="6"/>
  <c r="D7" i="6"/>
  <c r="I11" i="6"/>
  <c r="D11" i="6"/>
  <c r="L11" i="6" s="1"/>
  <c r="L7" i="6"/>
  <c r="D19" i="6"/>
  <c r="L19" i="6" s="1"/>
  <c r="D20" i="6"/>
  <c r="L20" i="6" s="1"/>
  <c r="L5" i="6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3" i="1"/>
  <c r="J3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L6" i="6" l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  <c r="J515" i="1"/>
  <c r="J519" i="1"/>
  <c r="J523" i="1"/>
  <c r="J527" i="1"/>
  <c r="J531" i="1"/>
  <c r="J535" i="1"/>
  <c r="J539" i="1"/>
  <c r="J543" i="1"/>
  <c r="J547" i="1"/>
  <c r="J551" i="1"/>
  <c r="J555" i="1"/>
  <c r="J559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I19" i="1"/>
  <c r="J19" i="1" s="1"/>
  <c r="J18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J9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20" i="1"/>
  <c r="J21" i="1"/>
  <c r="J22" i="1"/>
  <c r="J24" i="1"/>
  <c r="J25" i="1"/>
  <c r="J26" i="1"/>
  <c r="J28" i="1"/>
  <c r="J29" i="1"/>
  <c r="J30" i="1"/>
  <c r="J32" i="1"/>
  <c r="J33" i="1"/>
  <c r="J34" i="1"/>
  <c r="J36" i="1"/>
  <c r="J37" i="1"/>
  <c r="J38" i="1"/>
  <c r="J40" i="1"/>
  <c r="J41" i="1"/>
  <c r="J42" i="1"/>
  <c r="J44" i="1"/>
  <c r="J45" i="1"/>
  <c r="J46" i="1"/>
  <c r="J48" i="1"/>
  <c r="J49" i="1"/>
  <c r="J50" i="1"/>
  <c r="J52" i="1"/>
  <c r="J53" i="1"/>
  <c r="J54" i="1"/>
  <c r="J56" i="1"/>
  <c r="J57" i="1"/>
  <c r="J58" i="1"/>
  <c r="J60" i="1"/>
  <c r="J61" i="1"/>
  <c r="J62" i="1"/>
  <c r="J64" i="1"/>
  <c r="J65" i="1"/>
  <c r="J66" i="1"/>
  <c r="J68" i="1"/>
  <c r="J69" i="1"/>
  <c r="J70" i="1"/>
  <c r="J72" i="1"/>
  <c r="J73" i="1"/>
  <c r="J74" i="1"/>
  <c r="J76" i="1"/>
  <c r="J77" i="1"/>
  <c r="J78" i="1"/>
  <c r="J80" i="1"/>
  <c r="J81" i="1"/>
  <c r="J82" i="1"/>
  <c r="J84" i="1"/>
  <c r="J85" i="1"/>
  <c r="J86" i="1"/>
  <c r="J88" i="1"/>
  <c r="J89" i="1"/>
  <c r="J90" i="1"/>
  <c r="J92" i="1"/>
  <c r="J93" i="1"/>
  <c r="J94" i="1"/>
  <c r="J96" i="1"/>
  <c r="J97" i="1"/>
  <c r="J98" i="1"/>
  <c r="J100" i="1"/>
  <c r="J101" i="1"/>
  <c r="J102" i="1"/>
  <c r="J104" i="1"/>
  <c r="J105" i="1"/>
  <c r="J106" i="1"/>
  <c r="J108" i="1"/>
  <c r="J109" i="1"/>
  <c r="J110" i="1"/>
  <c r="J112" i="1"/>
  <c r="J113" i="1"/>
  <c r="J114" i="1"/>
  <c r="J116" i="1"/>
  <c r="J117" i="1"/>
  <c r="J118" i="1"/>
  <c r="J120" i="1"/>
  <c r="J121" i="1"/>
  <c r="J122" i="1"/>
  <c r="J124" i="1"/>
  <c r="J125" i="1"/>
  <c r="J126" i="1"/>
  <c r="J128" i="1"/>
  <c r="J129" i="1"/>
  <c r="J130" i="1"/>
  <c r="J132" i="1"/>
  <c r="J133" i="1"/>
  <c r="J134" i="1"/>
  <c r="J136" i="1"/>
  <c r="J137" i="1"/>
  <c r="J138" i="1"/>
  <c r="J140" i="1"/>
  <c r="J141" i="1"/>
  <c r="J142" i="1"/>
  <c r="J144" i="1"/>
  <c r="J145" i="1"/>
  <c r="J146" i="1"/>
  <c r="J148" i="1"/>
  <c r="J149" i="1"/>
  <c r="J150" i="1"/>
  <c r="J152" i="1"/>
  <c r="J153" i="1"/>
  <c r="J154" i="1"/>
  <c r="J156" i="1"/>
  <c r="J157" i="1"/>
  <c r="J158" i="1"/>
  <c r="J160" i="1"/>
  <c r="J161" i="1"/>
  <c r="J162" i="1"/>
  <c r="J164" i="1"/>
  <c r="J165" i="1"/>
  <c r="J166" i="1"/>
  <c r="J168" i="1"/>
  <c r="J169" i="1"/>
  <c r="J170" i="1"/>
  <c r="J172" i="1"/>
  <c r="J173" i="1"/>
  <c r="J174" i="1"/>
  <c r="J176" i="1"/>
  <c r="J177" i="1"/>
  <c r="J178" i="1"/>
  <c r="J180" i="1"/>
  <c r="J181" i="1"/>
  <c r="J182" i="1"/>
  <c r="J184" i="1"/>
  <c r="J185" i="1"/>
  <c r="J186" i="1"/>
  <c r="J188" i="1"/>
  <c r="J189" i="1"/>
  <c r="J190" i="1"/>
  <c r="J192" i="1"/>
  <c r="J193" i="1"/>
  <c r="J194" i="1"/>
  <c r="J196" i="1"/>
  <c r="J197" i="1"/>
  <c r="J198" i="1"/>
  <c r="J200" i="1"/>
  <c r="J201" i="1"/>
  <c r="J202" i="1"/>
  <c r="J204" i="1"/>
  <c r="J205" i="1"/>
  <c r="J206" i="1"/>
  <c r="J208" i="1"/>
  <c r="J209" i="1"/>
  <c r="J210" i="1"/>
  <c r="J212" i="1"/>
  <c r="J213" i="1"/>
  <c r="J214" i="1"/>
  <c r="J216" i="1"/>
  <c r="J217" i="1"/>
  <c r="J218" i="1"/>
  <c r="J220" i="1"/>
  <c r="J221" i="1"/>
  <c r="J222" i="1"/>
  <c r="J224" i="1"/>
  <c r="J225" i="1"/>
  <c r="J226" i="1"/>
  <c r="J228" i="1"/>
  <c r="J229" i="1"/>
  <c r="J230" i="1"/>
  <c r="J232" i="1"/>
  <c r="J233" i="1"/>
  <c r="J234" i="1"/>
  <c r="J236" i="1"/>
  <c r="J237" i="1"/>
  <c r="J238" i="1"/>
  <c r="J240" i="1"/>
  <c r="J241" i="1"/>
  <c r="J242" i="1"/>
  <c r="J244" i="1"/>
  <c r="J245" i="1"/>
  <c r="J246" i="1"/>
  <c r="J248" i="1"/>
  <c r="J249" i="1"/>
  <c r="J250" i="1"/>
  <c r="J252" i="1"/>
  <c r="J253" i="1"/>
  <c r="J254" i="1"/>
  <c r="J256" i="1"/>
  <c r="J257" i="1"/>
  <c r="J258" i="1"/>
  <c r="J260" i="1"/>
  <c r="J261" i="1"/>
  <c r="J262" i="1"/>
  <c r="J264" i="1"/>
  <c r="J265" i="1"/>
  <c r="J266" i="1"/>
  <c r="J268" i="1"/>
  <c r="J269" i="1"/>
  <c r="J270" i="1"/>
  <c r="J272" i="1"/>
  <c r="J273" i="1"/>
  <c r="J274" i="1"/>
  <c r="J276" i="1"/>
  <c r="J277" i="1"/>
  <c r="J278" i="1"/>
  <c r="J280" i="1"/>
  <c r="J281" i="1"/>
  <c r="J282" i="1"/>
  <c r="J284" i="1"/>
  <c r="J285" i="1"/>
  <c r="J286" i="1"/>
  <c r="J288" i="1"/>
  <c r="J289" i="1"/>
  <c r="J290" i="1"/>
  <c r="J292" i="1"/>
  <c r="J293" i="1"/>
  <c r="J294" i="1"/>
  <c r="J296" i="1"/>
  <c r="J297" i="1"/>
  <c r="J298" i="1"/>
  <c r="J300" i="1"/>
  <c r="J301" i="1"/>
  <c r="J302" i="1"/>
  <c r="J304" i="1"/>
  <c r="J305" i="1"/>
  <c r="J306" i="1"/>
  <c r="J308" i="1"/>
  <c r="J309" i="1"/>
  <c r="J310" i="1"/>
  <c r="J312" i="1"/>
  <c r="J313" i="1"/>
  <c r="J314" i="1"/>
  <c r="J316" i="1"/>
  <c r="J317" i="1"/>
  <c r="J318" i="1"/>
  <c r="J320" i="1"/>
  <c r="J321" i="1"/>
  <c r="J322" i="1"/>
  <c r="J324" i="1"/>
  <c r="J325" i="1"/>
  <c r="J326" i="1"/>
  <c r="J328" i="1"/>
  <c r="J329" i="1"/>
  <c r="J330" i="1"/>
  <c r="J332" i="1"/>
  <c r="J333" i="1"/>
  <c r="J334" i="1"/>
  <c r="J336" i="1"/>
  <c r="J337" i="1"/>
  <c r="J338" i="1"/>
  <c r="J340" i="1"/>
  <c r="J341" i="1"/>
  <c r="J342" i="1"/>
  <c r="J344" i="1"/>
  <c r="J345" i="1"/>
  <c r="J346" i="1"/>
  <c r="J348" i="1"/>
  <c r="J349" i="1"/>
  <c r="J350" i="1"/>
  <c r="J352" i="1"/>
  <c r="J353" i="1"/>
  <c r="J354" i="1"/>
  <c r="J356" i="1"/>
  <c r="J357" i="1"/>
  <c r="J358" i="1"/>
  <c r="J360" i="1"/>
  <c r="J361" i="1"/>
  <c r="J362" i="1"/>
  <c r="J364" i="1"/>
  <c r="J365" i="1"/>
  <c r="J366" i="1"/>
  <c r="J368" i="1"/>
  <c r="J369" i="1"/>
  <c r="J370" i="1"/>
  <c r="J372" i="1"/>
  <c r="J373" i="1"/>
  <c r="J374" i="1"/>
  <c r="J376" i="1"/>
  <c r="J377" i="1"/>
  <c r="J378" i="1"/>
  <c r="J380" i="1"/>
  <c r="J381" i="1"/>
  <c r="J382" i="1"/>
  <c r="J384" i="1"/>
  <c r="J385" i="1"/>
  <c r="J386" i="1"/>
  <c r="J388" i="1"/>
  <c r="J389" i="1"/>
  <c r="J390" i="1"/>
  <c r="J392" i="1"/>
  <c r="J393" i="1"/>
  <c r="J394" i="1"/>
  <c r="J396" i="1"/>
  <c r="J397" i="1"/>
  <c r="J398" i="1"/>
  <c r="J400" i="1"/>
  <c r="J401" i="1"/>
  <c r="J402" i="1"/>
  <c r="J404" i="1"/>
  <c r="J405" i="1"/>
  <c r="J406" i="1"/>
  <c r="J408" i="1"/>
  <c r="J409" i="1"/>
  <c r="J410" i="1"/>
  <c r="J412" i="1"/>
  <c r="J413" i="1"/>
  <c r="J414" i="1"/>
  <c r="J416" i="1"/>
  <c r="J417" i="1"/>
  <c r="J418" i="1"/>
  <c r="J420" i="1"/>
  <c r="J421" i="1"/>
  <c r="J422" i="1"/>
  <c r="J424" i="1"/>
  <c r="J425" i="1"/>
  <c r="J426" i="1"/>
  <c r="J428" i="1"/>
  <c r="J429" i="1"/>
  <c r="J430" i="1"/>
  <c r="J432" i="1"/>
  <c r="J433" i="1"/>
  <c r="J434" i="1"/>
  <c r="J436" i="1"/>
  <c r="J437" i="1"/>
  <c r="J438" i="1"/>
  <c r="J440" i="1"/>
  <c r="J441" i="1"/>
  <c r="J442" i="1"/>
  <c r="J444" i="1"/>
  <c r="J445" i="1"/>
  <c r="J446" i="1"/>
  <c r="J448" i="1"/>
  <c r="J449" i="1"/>
  <c r="J450" i="1"/>
  <c r="J452" i="1"/>
  <c r="J453" i="1"/>
  <c r="J454" i="1"/>
  <c r="J456" i="1"/>
  <c r="J457" i="1"/>
  <c r="J458" i="1"/>
  <c r="J460" i="1"/>
  <c r="J461" i="1"/>
  <c r="J462" i="1"/>
  <c r="J464" i="1"/>
  <c r="J465" i="1"/>
  <c r="J466" i="1"/>
  <c r="J468" i="1"/>
  <c r="J469" i="1"/>
  <c r="J470" i="1"/>
  <c r="J472" i="1"/>
  <c r="J473" i="1"/>
  <c r="J474" i="1"/>
  <c r="J476" i="1"/>
  <c r="J477" i="1"/>
  <c r="J478" i="1"/>
  <c r="J480" i="1"/>
  <c r="J481" i="1"/>
  <c r="J482" i="1"/>
  <c r="J484" i="1"/>
  <c r="J485" i="1"/>
  <c r="J486" i="1"/>
  <c r="J488" i="1"/>
  <c r="J489" i="1"/>
  <c r="J490" i="1"/>
  <c r="J492" i="1"/>
  <c r="J493" i="1"/>
  <c r="J494" i="1"/>
  <c r="J496" i="1"/>
  <c r="J497" i="1"/>
  <c r="J498" i="1"/>
  <c r="J500" i="1"/>
  <c r="J501" i="1"/>
  <c r="J502" i="1"/>
  <c r="J504" i="1"/>
  <c r="J505" i="1"/>
  <c r="J506" i="1"/>
  <c r="J508" i="1"/>
  <c r="J509" i="1"/>
  <c r="J510" i="1"/>
  <c r="J512" i="1"/>
  <c r="J513" i="1"/>
  <c r="J514" i="1"/>
  <c r="J516" i="1"/>
  <c r="J517" i="1"/>
  <c r="J518" i="1"/>
  <c r="J520" i="1"/>
  <c r="J521" i="1"/>
  <c r="J522" i="1"/>
  <c r="J524" i="1"/>
  <c r="J525" i="1"/>
  <c r="J526" i="1"/>
  <c r="J528" i="1"/>
  <c r="J529" i="1"/>
  <c r="J530" i="1"/>
  <c r="J532" i="1"/>
  <c r="J533" i="1"/>
  <c r="J534" i="1"/>
  <c r="J536" i="1"/>
  <c r="J537" i="1"/>
  <c r="J538" i="1"/>
  <c r="J540" i="1"/>
  <c r="J541" i="1"/>
  <c r="J542" i="1"/>
  <c r="J544" i="1"/>
  <c r="J545" i="1"/>
  <c r="J546" i="1"/>
  <c r="J548" i="1"/>
  <c r="J549" i="1"/>
  <c r="J550" i="1"/>
  <c r="J552" i="1"/>
  <c r="J553" i="1"/>
  <c r="J554" i="1"/>
  <c r="J556" i="1"/>
  <c r="J557" i="1"/>
  <c r="J558" i="1"/>
  <c r="J560" i="1"/>
  <c r="J561" i="1"/>
  <c r="J562" i="1"/>
  <c r="J564" i="1"/>
  <c r="J565" i="1"/>
  <c r="J566" i="1"/>
  <c r="J568" i="1"/>
  <c r="J569" i="1"/>
  <c r="J570" i="1"/>
  <c r="J572" i="1"/>
  <c r="J573" i="1"/>
  <c r="J574" i="1"/>
  <c r="J576" i="1"/>
  <c r="J577" i="1"/>
  <c r="J578" i="1"/>
  <c r="J580" i="1"/>
  <c r="J581" i="1"/>
  <c r="J582" i="1"/>
  <c r="J584" i="1"/>
  <c r="J585" i="1"/>
  <c r="J586" i="1"/>
  <c r="J588" i="1"/>
  <c r="J589" i="1"/>
  <c r="J590" i="1"/>
  <c r="J592" i="1"/>
  <c r="J593" i="1"/>
  <c r="J594" i="1"/>
  <c r="J596" i="1"/>
  <c r="J597" i="1"/>
  <c r="J598" i="1"/>
  <c r="J600" i="1"/>
  <c r="J601" i="1"/>
  <c r="J602" i="1"/>
  <c r="J604" i="1"/>
  <c r="J605" i="1"/>
  <c r="J606" i="1"/>
  <c r="J608" i="1"/>
  <c r="J609" i="1"/>
  <c r="J610" i="1"/>
  <c r="K1" i="1"/>
  <c r="E3" i="3"/>
  <c r="L4" i="6" l="1"/>
</calcChain>
</file>

<file path=xl/sharedStrings.xml><?xml version="1.0" encoding="utf-8"?>
<sst xmlns="http://schemas.openxmlformats.org/spreadsheetml/2006/main" count="705" uniqueCount="200">
  <si>
    <t>NOME</t>
  </si>
  <si>
    <t>FUNÇÃO</t>
  </si>
  <si>
    <t>ADMISSÃO</t>
  </si>
  <si>
    <t xml:space="preserve">RENOVADO ? </t>
  </si>
  <si>
    <t>SITUAÇÃO</t>
  </si>
  <si>
    <t>SIM</t>
  </si>
  <si>
    <t>EFETIVO</t>
  </si>
  <si>
    <t>NÃO</t>
  </si>
  <si>
    <t>AFASTADO</t>
  </si>
  <si>
    <t>DESLIGADO</t>
  </si>
  <si>
    <t>CONTRATO</t>
  </si>
  <si>
    <t>AVISO PRÉVIO</t>
  </si>
  <si>
    <t>STATUS COLABORADOR</t>
  </si>
  <si>
    <t xml:space="preserve">TERMINO DE CONTRATO </t>
  </si>
  <si>
    <t>%AppData%\Microsoft\Windows\Start Menu\Programs\Startup</t>
  </si>
  <si>
    <t>ATALHO PARA INICIAR COMO O WINDOWS</t>
  </si>
  <si>
    <t>AJUDANTE</t>
  </si>
  <si>
    <t>GERENTE</t>
  </si>
  <si>
    <t>ALMOXARIFE</t>
  </si>
  <si>
    <t>CALDEIREIRO</t>
  </si>
  <si>
    <t>SOLDADOR</t>
  </si>
  <si>
    <t>PINTOR</t>
  </si>
  <si>
    <t>CADASTRO DE FUNÇÃO</t>
  </si>
  <si>
    <t>VENCIMENTO</t>
  </si>
  <si>
    <t>IDENTIFICAÇÃO</t>
  </si>
  <si>
    <t>OBSERVAÇÃO</t>
  </si>
  <si>
    <t>CONTROLES DE CONTRATO</t>
  </si>
  <si>
    <t>PGR</t>
  </si>
  <si>
    <t>PCMSO</t>
  </si>
  <si>
    <t>CONTROLE ADMINISTRATIVO EMPRESA</t>
  </si>
  <si>
    <t>EMPRESA</t>
  </si>
  <si>
    <t>ANALISTA ADMINSITRATIVO</t>
  </si>
  <si>
    <t>SITUAÇÃO DO CONTRATO</t>
  </si>
  <si>
    <t>CONTROLE DE CONTRATOS</t>
  </si>
  <si>
    <t>CONTROLE ADMINISTRATIVO</t>
  </si>
  <si>
    <t>REALIZAÇÃO DO ASO</t>
  </si>
  <si>
    <t>PROXIMO ASO</t>
  </si>
  <si>
    <t>VENCIDO</t>
  </si>
  <si>
    <t>SITUAÇÃO DO ASO</t>
  </si>
  <si>
    <t>(vazio)</t>
  </si>
  <si>
    <t>FRANCINEIDE APARECIDA VICENTE</t>
  </si>
  <si>
    <t>AUXILIAR ADMINISTRATIVO</t>
  </si>
  <si>
    <t>MARLUCE RODRIGUES LOPES</t>
  </si>
  <si>
    <t>JOÃO CARLOS DA SILVA</t>
  </si>
  <si>
    <t>OPERADOR DE GUINDASTE</t>
  </si>
  <si>
    <t>PAULO HENRIQUE DOS SANTOS ANDRADE</t>
  </si>
  <si>
    <t>WISLAN VICENTE DA SILVA</t>
  </si>
  <si>
    <t>GILMAR DONIZETTE BENITI GARCIA JUNIOR</t>
  </si>
  <si>
    <t>MATHEUS PEREIRA DOS SANTOS</t>
  </si>
  <si>
    <t>OPERADOR DE MUNCK</t>
  </si>
  <si>
    <t>ANTONIO CARLOS DA SILVA DE AMORIM</t>
  </si>
  <si>
    <t>ADELINO SANTA ROSA</t>
  </si>
  <si>
    <t>ROQUE MOREIRA SANTA ROSA</t>
  </si>
  <si>
    <t>LEANDRO JESUS BRITO</t>
  </si>
  <si>
    <t>HENRIQUE OLIVEIRA DOS SANTOS</t>
  </si>
  <si>
    <t>PABLO GONÇALVES DE PAULA</t>
  </si>
  <si>
    <t>ADENILTON GOMES DE OLIVEIRA</t>
  </si>
  <si>
    <t>MARCOS ROBERTO RATEIRO</t>
  </si>
  <si>
    <t>HERCULES DE PAULA E OLIVEIRA</t>
  </si>
  <si>
    <t>TEC. SEG. NO TRABAL.</t>
  </si>
  <si>
    <t>STATUS ASO</t>
  </si>
  <si>
    <t>DENTRO DO PRAZO</t>
  </si>
  <si>
    <t>GUINDASTE 35 TON (DTA9E83)</t>
  </si>
  <si>
    <t>MICRO AZUL (DPF1752)</t>
  </si>
  <si>
    <t>MICRO AMARELO (DBC5982)</t>
  </si>
  <si>
    <t>MICRO BRANCO (DJB3608)</t>
  </si>
  <si>
    <t>GUINDASTE 70 TON (FSU5750)</t>
  </si>
  <si>
    <t>MUNCK 10 TON (ING7C86)</t>
  </si>
  <si>
    <t>MICRO GRANDE (DBC9E74)</t>
  </si>
  <si>
    <t>RAFAEL OLIVEIRA DA SILVA</t>
  </si>
  <si>
    <t>MUNCK AZUL (APM0991)</t>
  </si>
  <si>
    <t>Coluna1</t>
  </si>
  <si>
    <t>LICENCIAMENTO CAMINHÕES</t>
  </si>
  <si>
    <t>LICENCIAMENTO CARRO</t>
  </si>
  <si>
    <t>setembro</t>
  </si>
  <si>
    <t>ABRIL</t>
  </si>
  <si>
    <t>MAIO</t>
  </si>
  <si>
    <t>outubro</t>
  </si>
  <si>
    <t>JUNHO</t>
  </si>
  <si>
    <t>JULHO</t>
  </si>
  <si>
    <t>AGOSTO</t>
  </si>
  <si>
    <t>novembro</t>
  </si>
  <si>
    <t>SETEMBRO</t>
  </si>
  <si>
    <t>OUTUBRO</t>
  </si>
  <si>
    <t>dezembro</t>
  </si>
  <si>
    <t>NOVEMBRO</t>
  </si>
  <si>
    <t>DEZEMBRO</t>
  </si>
  <si>
    <t>FINAL DA PLACA</t>
  </si>
  <si>
    <t>MÊS VENCIMENTO</t>
  </si>
  <si>
    <t>PLACA</t>
  </si>
  <si>
    <t>JANEIRO</t>
  </si>
  <si>
    <t>DBC5982</t>
  </si>
  <si>
    <t>FEVEREIRO</t>
  </si>
  <si>
    <t>ING7C86</t>
  </si>
  <si>
    <t>MARÇO</t>
  </si>
  <si>
    <t>DBC9E74</t>
  </si>
  <si>
    <t>DJB3608</t>
  </si>
  <si>
    <t>DPF1752</t>
  </si>
  <si>
    <t>FSU5H50</t>
  </si>
  <si>
    <t>APM0991</t>
  </si>
  <si>
    <t>DATA DE LICENCIAMENTO</t>
  </si>
  <si>
    <t>DATA VENCIMENTO</t>
  </si>
  <si>
    <t>DIA</t>
  </si>
  <si>
    <t>MÊS</t>
  </si>
  <si>
    <t>ANO</t>
  </si>
  <si>
    <t>Coluna2</t>
  </si>
  <si>
    <t>Coluna3</t>
  </si>
  <si>
    <t>DTA9E83</t>
  </si>
  <si>
    <t>STATUS</t>
  </si>
  <si>
    <t>Coluna4</t>
  </si>
  <si>
    <t>VEICULO</t>
  </si>
  <si>
    <t>TIPO_EMPRESA</t>
  </si>
  <si>
    <t>ALVARA JC SILVA</t>
  </si>
  <si>
    <t>CND TRABALHISTA</t>
  </si>
  <si>
    <t>CND FEDERAL</t>
  </si>
  <si>
    <t>CND ESTADUAL</t>
  </si>
  <si>
    <t>SEGURO DE VIDA</t>
  </si>
  <si>
    <t>VEICULOS_LICENCIAMENTO</t>
  </si>
  <si>
    <t>VEICULOS_TACOGRAFO</t>
  </si>
  <si>
    <t>TIPO DO DOC</t>
  </si>
  <si>
    <t>MUNCK VERMELHO (APM0991)</t>
  </si>
  <si>
    <t>PAULO HENRIQUE DA SILVA BUENO</t>
  </si>
  <si>
    <t>MONTADOR INDUSTRIAL</t>
  </si>
  <si>
    <t>WELLYTON SALVIANO LOPES</t>
  </si>
  <si>
    <t>MARCELO ALVES DA SILVA</t>
  </si>
  <si>
    <t>DOUGLAS DANIEL LIMA ARCEBISPO</t>
  </si>
  <si>
    <t>OPERADOR DE MUCK</t>
  </si>
  <si>
    <t>RONILDO JORGE LINS</t>
  </si>
  <si>
    <t>JOSE ROBERTO DA SILVA MELO</t>
  </si>
  <si>
    <t>RODRIGO COELHO DE ALMEIDA</t>
  </si>
  <si>
    <t>HERICLES JESUS DA SILVA</t>
  </si>
  <si>
    <t xml:space="preserve">
MARCOS SILVA SOUZA</t>
  </si>
  <si>
    <t>GILVAN VIANA SOUZA</t>
  </si>
  <si>
    <t>PEDRO ALBERTO LIRA DE OLIVEIRA SANTOS</t>
  </si>
  <si>
    <t>DENILSON DA SILVA SANTOS</t>
  </si>
  <si>
    <t>JOSE HENRIQUE FERREIRA DOS SANTOS</t>
  </si>
  <si>
    <t>JOSE GABRIEL AGNALDO BISPO DOS SANTOS</t>
  </si>
  <si>
    <t>NIEL VITORIO DOS SANTOS</t>
  </si>
  <si>
    <t>LUIZ RICARDO SOUZA</t>
  </si>
  <si>
    <t>JONAS SILVA CRUZ</t>
  </si>
  <si>
    <t>JAILSON SILVA DO NASCIMENTO</t>
  </si>
  <si>
    <t>WASHINGTON VITAL DA SILVA</t>
  </si>
  <si>
    <t>WYLLITON ELIO DA SILVA</t>
  </si>
  <si>
    <t>JOAO CABOCLO DA SILVA NETO</t>
  </si>
  <si>
    <t>IVANILDO MARCELINO DA SILVA</t>
  </si>
  <si>
    <t>LUIS BRUNO SANTOS MARTINS</t>
  </si>
  <si>
    <t>ANTONIO MARCOS DA ANUNCIAÇÃO FONSECA</t>
  </si>
  <si>
    <t>ENCANADOR</t>
  </si>
  <si>
    <t>ALINE SOUZA DOS SANTOS ANUNCIAÇÃO</t>
  </si>
  <si>
    <t>GABRIEL VICENTE DA SILVA</t>
  </si>
  <si>
    <t>-</t>
  </si>
  <si>
    <t>EDCLEI GOMES DE LIMA</t>
  </si>
  <si>
    <t>MONTADOR DE ANDAIME</t>
  </si>
  <si>
    <t>FABIO DE SÁ</t>
  </si>
  <si>
    <t>ANTONIO DA CONCEICAO DOS SANTOS JUNIOR</t>
  </si>
  <si>
    <t>ADRIANO ANTONIO DE QUEIROZ</t>
  </si>
  <si>
    <t>DHONE CARNEIRO OLIVEIRA</t>
  </si>
  <si>
    <t>DIEGO SILVA DOS SANTOS</t>
  </si>
  <si>
    <t>GILDO ALVES DO NASCIMENTO</t>
  </si>
  <si>
    <t>JOSE CICERO CABOCLO DA SILVA</t>
  </si>
  <si>
    <t>JOSE CARLOS DE ALMEIDA</t>
  </si>
  <si>
    <t>ADÃO JOSE BENTO</t>
  </si>
  <si>
    <t>ALEXANDRE LINS DO NASCIMENTO</t>
  </si>
  <si>
    <t>ANDRE AMERICO DA SILVA SANTOS</t>
  </si>
  <si>
    <t>ANDERSON ROBERTO DA SILVA</t>
  </si>
  <si>
    <t>WELLINGTON ROCHA DOS SANTOS</t>
  </si>
  <si>
    <t>JOSE ROBERTO FIRMINO DE SOUZA</t>
  </si>
  <si>
    <t>WELLINGTON JOSE DA SILVA</t>
  </si>
  <si>
    <t>JOSIAS GUEDES DOS SANTOS</t>
  </si>
  <si>
    <t>DARLAN DAVID FIRMINO DA SILVA</t>
  </si>
  <si>
    <t>ALEXANDRE GOMES DA SILVA</t>
  </si>
  <si>
    <t>CARLOS DANIEL DA SILVA</t>
  </si>
  <si>
    <t>ISRAEL VERCOLINO DA SILVA</t>
  </si>
  <si>
    <t>07/04/2026</t>
  </si>
  <si>
    <t>08/04/2026</t>
  </si>
  <si>
    <t>09/04/2026</t>
  </si>
  <si>
    <t>10/04/2026</t>
  </si>
  <si>
    <t>VANDERLI MOREIRA DIAS</t>
  </si>
  <si>
    <t>AMERCO GOMES DA SILVA</t>
  </si>
  <si>
    <t>JOHN LENNON SILVA DE SOUZA</t>
  </si>
  <si>
    <t>FUNILEIRO</t>
  </si>
  <si>
    <t>GEIVER ALONZO HINESTROZA NUNES</t>
  </si>
  <si>
    <t>FRANCISCO PEREIRA DA SILVA</t>
  </si>
  <si>
    <t>EDIVALDO CARVALHO DA SILVA</t>
  </si>
  <si>
    <t>ABEL JOSE DOS SANTOS</t>
  </si>
  <si>
    <t>MIGUEL ALVES BEZERRA</t>
  </si>
  <si>
    <t>MONTAGENS INDUSTRIAL</t>
  </si>
  <si>
    <t>JOSE MOREIRA DIAS</t>
  </si>
  <si>
    <t>JOCELINO NEVES DE AGUILAR</t>
  </si>
  <si>
    <t>ADILSON CARVALHO FONSECA</t>
  </si>
  <si>
    <t>WILLIAN SANTANA DA SILVA</t>
  </si>
  <si>
    <t>VALDEIR MIRANDA DA ROCHA</t>
  </si>
  <si>
    <t>13 Dia(s) Restante do AVISO PRÉVIO</t>
  </si>
  <si>
    <t>17 Dia(s) Restante do CONTRATO</t>
  </si>
  <si>
    <t>150 Dia(s) Restante</t>
  </si>
  <si>
    <t>105 Dia(s) Restante</t>
  </si>
  <si>
    <t>261 Dia(s) Restante</t>
  </si>
  <si>
    <t>189 Dia(s) Restante</t>
  </si>
  <si>
    <t>37 Dia(s) Restante</t>
  </si>
  <si>
    <t>2 Dia(s)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</si>
</sst>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"/>
    <numFmt numFmtId="165" formatCode="[$-416]d;@"/>
    <numFmt numFmtId="166" formatCode="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EE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6F2E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1" fillId="0" borderId="0" xfId="0" applyFont="1"/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3" fillId="0" borderId="0" xfId="0" applyNumberFormat="1" applyFont="1" applyAlignment="1">
      <alignment horizontal="center" vertical="center"/>
    </xf>
    <xf numFmtId="0" fontId="0" fillId="0" borderId="6" xfId="0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/>
    <xf numFmtId="0" fontId="10" fillId="0" borderId="0" xfId="0" applyFont="1"/>
    <xf numFmtId="0" fontId="10" fillId="0" borderId="4" xfId="0" applyFont="1" applyBorder="1"/>
    <xf numFmtId="0" fontId="10" fillId="0" borderId="0" xfId="0" applyFont="1" applyAlignment="1">
      <alignment horizontal="left"/>
    </xf>
    <xf numFmtId="0" fontId="10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14" fontId="1" fillId="0" borderId="0" xfId="0" applyNumberFormat="1" applyFont="1" applyAlignment="1" applyProtection="1">
      <alignment horizontal="center" vertical="center"/>
      <protection locked="0"/>
    </xf>
    <xf numFmtId="14" fontId="0" fillId="0" borderId="0" xfId="0" applyNumberFormat="1"/>
    <xf numFmtId="14" fontId="10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8" borderId="14" xfId="0" applyFont="1" applyFill="1" applyBorder="1" applyAlignment="1" applyProtection="1">
      <alignment horizontal="center" vertical="center"/>
      <protection locked="0"/>
    </xf>
    <xf numFmtId="2" fontId="1" fillId="8" borderId="15" xfId="0" applyNumberFormat="1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0" fontId="1" fillId="8" borderId="16" xfId="0" applyFont="1" applyFill="1" applyBorder="1" applyAlignment="1" applyProtection="1">
      <alignment horizontal="center" vertical="center"/>
      <protection locked="0"/>
    </xf>
    <xf numFmtId="2" fontId="1" fillId="8" borderId="17" xfId="0" applyNumberFormat="1" applyFont="1" applyFill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0" fontId="1" fillId="7" borderId="13" xfId="0" applyFont="1" applyFill="1" applyBorder="1" applyProtection="1">
      <protection locked="0"/>
    </xf>
    <xf numFmtId="2" fontId="1" fillId="7" borderId="10" xfId="0" applyNumberFormat="1" applyFont="1" applyFill="1" applyBorder="1" applyProtection="1"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7" borderId="9" xfId="0" applyFont="1" applyFill="1" applyBorder="1" applyAlignment="1" applyProtection="1">
      <alignment horizontal="center" vertical="center"/>
      <protection locked="0"/>
    </xf>
    <xf numFmtId="0" fontId="1" fillId="7" borderId="22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24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0" fillId="0" borderId="30" xfId="0" applyBorder="1"/>
    <xf numFmtId="0" fontId="0" fillId="11" borderId="30" xfId="0" applyFill="1" applyBorder="1"/>
    <xf numFmtId="0" fontId="0" fillId="11" borderId="31" xfId="0" applyFill="1" applyBorder="1"/>
    <xf numFmtId="14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>
      <alignment horizontal="center"/>
    </xf>
    <xf numFmtId="0" fontId="8" fillId="9" borderId="27" xfId="0" applyFont="1" applyFill="1" applyBorder="1" applyAlignment="1" applyProtection="1">
      <alignment horizontal="center" vertical="center"/>
      <protection locked="0"/>
    </xf>
    <xf numFmtId="0" fontId="0" fillId="10" borderId="28" xfId="0" applyFill="1" applyBorder="1" applyProtection="1">
      <protection locked="0"/>
    </xf>
    <xf numFmtId="0" fontId="0" fillId="11" borderId="28" xfId="0" applyFill="1" applyBorder="1" applyProtection="1">
      <protection locked="0"/>
    </xf>
    <xf numFmtId="0" fontId="0" fillId="11" borderId="29" xfId="0" applyFill="1" applyBorder="1" applyProtection="1">
      <protection locked="0"/>
    </xf>
    <xf numFmtId="0" fontId="1" fillId="0" borderId="23" xfId="0" applyFont="1" applyBorder="1" applyAlignment="1" applyProtection="1">
      <alignment vertical="center"/>
      <protection locked="0"/>
    </xf>
    <xf numFmtId="0" fontId="1" fillId="0" borderId="25" xfId="0" applyFont="1" applyBorder="1" applyAlignment="1" applyProtection="1">
      <alignment vertical="center"/>
      <protection locked="0"/>
    </xf>
    <xf numFmtId="14" fontId="1" fillId="0" borderId="4" xfId="0" applyNumberFormat="1" applyFont="1" applyBorder="1" applyAlignment="1" applyProtection="1">
      <alignment vertical="center"/>
      <protection locked="0"/>
    </xf>
    <xf numFmtId="14" fontId="1" fillId="0" borderId="3" xfId="0" applyNumberFormat="1" applyFont="1" applyBorder="1" applyAlignment="1" applyProtection="1">
      <alignment vertical="center"/>
      <protection locked="0"/>
    </xf>
    <xf numFmtId="14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6" fillId="4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7" borderId="11" xfId="0" applyFont="1" applyFill="1" applyBorder="1" applyAlignment="1" applyProtection="1">
      <alignment horizontal="center" vertical="center"/>
      <protection locked="0"/>
    </xf>
    <xf numFmtId="0" fontId="1" fillId="7" borderId="12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Border="1"/>
    <xf numFmtId="14" fontId="0" fillId="0" borderId="0" xfId="0" applyNumberFormat="1" applyFill="1" applyBorder="1"/>
    <xf numFmtId="0" fontId="8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0" fillId="8" borderId="0" xfId="0" applyFill="1" applyBorder="1"/>
    <xf numFmtId="14" fontId="0" fillId="8" borderId="0" xfId="0" applyNumberFormat="1" applyFill="1" applyBorder="1"/>
    <xf numFmtId="0" fontId="0" fillId="5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8" borderId="0" xfId="0" applyFill="1" applyBorder="1" applyAlignment="1">
      <alignment vertical="center"/>
    </xf>
    <xf numFmtId="0" fontId="10" fillId="0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14" fontId="10" fillId="0" borderId="0" xfId="0" applyNumberFormat="1" applyFont="1" applyFill="1" applyBorder="1" applyAlignment="1">
      <alignment horizontal="left"/>
    </xf>
    <xf numFmtId="0" fontId="9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1992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left"/>
    </dxf>
    <dxf>
      <alignment horizontal="left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left"/>
    </dxf>
    <dxf>
      <alignment horizontal="left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left"/>
    </dxf>
    <dxf>
      <alignment horizontal="left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left"/>
    </dxf>
    <dxf>
      <alignment horizontal="left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left"/>
    </dxf>
    <dxf>
      <alignment horizontal="left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E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ont>
        <b/>
        <i val="0"/>
        <color rgb="FFEE0000"/>
      </font>
      <fill>
        <patternFill>
          <bgColor rgb="FFFF9F9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33"/>
      </font>
      <fill>
        <patternFill>
          <bgColor rgb="FFFF7D7D"/>
        </patternFill>
      </fill>
    </dxf>
    <dxf>
      <font>
        <b/>
        <i val="0"/>
        <color rgb="FFAC7F00"/>
      </font>
      <fill>
        <patternFill>
          <bgColor rgb="FFFFFFAF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  <protection locked="0" hidden="0"/>
    </dxf>
    <dxf>
      <numFmt numFmtId="0" formatCode="General"/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  <protection locked="0" hidden="0"/>
    </dxf>
    <dxf>
      <numFmt numFmtId="0" formatCode="General"/>
      <protection locked="0" hidden="0"/>
    </dxf>
    <dxf>
      <numFmt numFmtId="19" formatCode="dd/mm/yyyy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  <protection locked="1" hidden="0"/>
    </dxf>
    <dxf>
      <numFmt numFmtId="19" formatCode="dd/mm/yyyy"/>
      <alignment horizontal="center" vertical="center" textRotation="0" wrapText="0" indent="0" justifyLastLine="0" shrinkToFit="0" readingOrder="0"/>
      <protection locked="1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9" formatCode="dd/mm/yyyy"/>
      <alignment horizontal="center" vertical="center" textRotation="0" wrapText="1" indent="0" justifyLastLine="0" shrinkToFit="0" readingOrder="0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left"/>
    </dxf>
    <dxf>
      <alignment horizontal="left"/>
    </dxf>
    <dxf>
      <alignment horizontal="left"/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  <fill>
        <patternFill patternType="solid">
          <fgColor indexed="64"/>
          <bgColor theme="2" tint="-0.749992370372631"/>
        </patternFill>
      </fill>
    </dxf>
    <dxf>
      <font>
        <b/>
      </font>
      <fill>
        <patternFill patternType="solid">
          <fgColor indexed="64"/>
          <bgColor theme="2" tint="-0.74999237037263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left"/>
    </dxf>
    <dxf>
      <alignment horizontal="left"/>
    </dxf>
    <dxf>
      <alignment horizontal="left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alignment horizontal="left"/>
    </dxf>
    <dxf>
      <alignment horizontal="left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font>
        <b/>
      </font>
      <fill>
        <patternFill patternType="solid">
          <fgColor indexed="64"/>
          <bgColor theme="2" tint="-0.749992370372631"/>
        </patternFill>
      </fill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colors>
    <mruColors>
      <color rgb="FFAC7F00"/>
      <color rgb="FFFFFFAF"/>
      <color rgb="FFFF3333"/>
      <color rgb="FFFF5B5B"/>
      <color rgb="FFFF7D7D"/>
      <color rgb="FFFF9F9F"/>
      <color rgb="FFFF7979"/>
      <color rgb="FFFFA3A3"/>
      <color rgb="FFFFE9A3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TROLE CONTRATOS '!A1"/><Relationship Id="rId2" Type="http://schemas.openxmlformats.org/officeDocument/2006/relationships/hyperlink" Target="#CADASTRO!A1"/><Relationship Id="rId1" Type="http://schemas.openxmlformats.org/officeDocument/2006/relationships/hyperlink" Target="#'CONTROLE  ADMINISTRATIVO'!A1"/><Relationship Id="rId4" Type="http://schemas.openxmlformats.org/officeDocument/2006/relationships/hyperlink" Target="#'CONSULTA VENCIMENTO VEICULAR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ANALISE DE DADOS'!A1"/><Relationship Id="rId2" Type="http://schemas.openxmlformats.org/officeDocument/2006/relationships/hyperlink" Target="#CADASTRO!A1"/><Relationship Id="rId1" Type="http://schemas.openxmlformats.org/officeDocument/2006/relationships/hyperlink" Target="#'CONTROLE  ADMINISTRATIVO'!A1"/><Relationship Id="rId4" Type="http://schemas.openxmlformats.org/officeDocument/2006/relationships/hyperlink" Target="#'CONSULTA VENCIMENTO VEICULAR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NALISE DE DADOS'!A1"/><Relationship Id="rId2" Type="http://schemas.openxmlformats.org/officeDocument/2006/relationships/hyperlink" Target="#CADASTRO!A1"/><Relationship Id="rId1" Type="http://schemas.openxmlformats.org/officeDocument/2006/relationships/hyperlink" Target="#'CONTROLE CONTRATOS '!A1"/><Relationship Id="rId4" Type="http://schemas.openxmlformats.org/officeDocument/2006/relationships/hyperlink" Target="#'CONSULTA VENCIMENTO VEICULAR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ANALISE DE DADOS'!A1"/><Relationship Id="rId2" Type="http://schemas.openxmlformats.org/officeDocument/2006/relationships/hyperlink" Target="#'CONTROLE  ADMINISTRATIVO'!A1"/><Relationship Id="rId1" Type="http://schemas.openxmlformats.org/officeDocument/2006/relationships/hyperlink" Target="#'CONTROLE CONTRATOS '!A1"/><Relationship Id="rId4" Type="http://schemas.openxmlformats.org/officeDocument/2006/relationships/hyperlink" Target="#'CONSULTA VENCIMENTO VEICULA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458911</xdr:colOff>
      <xdr:row>0</xdr:row>
      <xdr:rowOff>0</xdr:rowOff>
    </xdr:from>
    <xdr:to>
      <xdr:col>8</xdr:col>
      <xdr:colOff>839611</xdr:colOff>
      <xdr:row>2</xdr:row>
      <xdr:rowOff>180600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B08DA9-1601-4B20-8074-43EB088BA457}"/>
            </a:ext>
          </a:extLst>
        </xdr:cNvPr>
        <xdr:cNvSpPr/>
      </xdr:nvSpPr>
      <xdr:spPr>
        <a:xfrm>
          <a:off x="10587161" y="0"/>
          <a:ext cx="2095200" cy="5616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>
              <a:solidFill>
                <a:schemeClr val="bg2"/>
              </a:solidFill>
              <a:latin typeface="+mn-lt"/>
              <a:ea typeface="+mn-ea"/>
              <a:cs typeface="+mn-cs"/>
            </a:rPr>
            <a:t>IR PARA CONTROLE ADMINISTRATIVO</a:t>
          </a:r>
        </a:p>
        <a:p>
          <a:pPr marL="0" indent="0" algn="ctr"/>
          <a:endParaRPr lang="pt-BR" sz="12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20111</xdr:colOff>
      <xdr:row>0</xdr:row>
      <xdr:rowOff>0</xdr:rowOff>
    </xdr:from>
    <xdr:to>
      <xdr:col>7</xdr:col>
      <xdr:colOff>254000</xdr:colOff>
      <xdr:row>2</xdr:row>
      <xdr:rowOff>180600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5CA887-FC8E-476F-9A9E-80093E0ED478}"/>
            </a:ext>
          </a:extLst>
        </xdr:cNvPr>
        <xdr:cNvSpPr/>
      </xdr:nvSpPr>
      <xdr:spPr>
        <a:xfrm>
          <a:off x="8285694" y="0"/>
          <a:ext cx="2096556" cy="5616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>
              <a:solidFill>
                <a:schemeClr val="bg2"/>
              </a:solidFill>
              <a:latin typeface="+mn-lt"/>
              <a:ea typeface="+mn-ea"/>
              <a:cs typeface="+mn-cs"/>
            </a:rPr>
            <a:t>IR PARA CADASTRO</a:t>
          </a:r>
        </a:p>
      </xdr:txBody>
    </xdr:sp>
    <xdr:clientData/>
  </xdr:twoCellAnchor>
  <xdr:twoCellAnchor>
    <xdr:from>
      <xdr:col>8</xdr:col>
      <xdr:colOff>1044522</xdr:colOff>
      <xdr:row>0</xdr:row>
      <xdr:rowOff>0</xdr:rowOff>
    </xdr:from>
    <xdr:to>
      <xdr:col>10</xdr:col>
      <xdr:colOff>896055</xdr:colOff>
      <xdr:row>2</xdr:row>
      <xdr:rowOff>180600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211958-F2BF-4767-A951-548E4B5AEBEC}"/>
            </a:ext>
          </a:extLst>
        </xdr:cNvPr>
        <xdr:cNvSpPr/>
      </xdr:nvSpPr>
      <xdr:spPr>
        <a:xfrm>
          <a:off x="12887272" y="0"/>
          <a:ext cx="2095200" cy="5616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>
              <a:solidFill>
                <a:schemeClr val="bg2"/>
              </a:solidFill>
              <a:latin typeface="+mn-lt"/>
              <a:ea typeface="+mn-ea"/>
              <a:cs typeface="+mn-cs"/>
            </a:rPr>
            <a:t>IR PARA CONTROLE DE CONTRATOS</a:t>
          </a:r>
        </a:p>
      </xdr:txBody>
    </xdr:sp>
    <xdr:clientData/>
  </xdr:twoCellAnchor>
  <xdr:twoCellAnchor editAs="oneCell">
    <xdr:from>
      <xdr:col>1</xdr:col>
      <xdr:colOff>1327892</xdr:colOff>
      <xdr:row>0</xdr:row>
      <xdr:rowOff>0</xdr:rowOff>
    </xdr:from>
    <xdr:to>
      <xdr:col>4</xdr:col>
      <xdr:colOff>952500</xdr:colOff>
      <xdr:row>7</xdr:row>
      <xdr:rowOff>105832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TATUS COLABORADOR">
              <a:extLst>
                <a:ext uri="{FF2B5EF4-FFF2-40B4-BE49-F238E27FC236}">
                  <a16:creationId xmlns:a16="http://schemas.microsoft.com/office/drawing/2014/main" id="{F0C1ED00-3B0A-C6FB-4F26-D5393548FB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COLABORA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010" y="0"/>
              <a:ext cx="4443137" cy="15625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3</xdr:row>
      <xdr:rowOff>179920</xdr:rowOff>
    </xdr:from>
    <xdr:to>
      <xdr:col>1</xdr:col>
      <xdr:colOff>1217083</xdr:colOff>
      <xdr:row>7</xdr:row>
      <xdr:rowOff>52918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4A9B1E8D-6701-CEA7-ED56-C841A442711F}"/>
            </a:ext>
          </a:extLst>
        </xdr:cNvPr>
        <xdr:cNvGrpSpPr/>
      </xdr:nvGrpSpPr>
      <xdr:grpSpPr>
        <a:xfrm>
          <a:off x="1" y="751420"/>
          <a:ext cx="3727200" cy="758263"/>
          <a:chOff x="1" y="751419"/>
          <a:chExt cx="3682999" cy="804331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D9DEF07C-81D2-EDF6-7656-815D11698922}"/>
              </a:ext>
            </a:extLst>
          </xdr:cNvPr>
          <xdr:cNvSpPr/>
        </xdr:nvSpPr>
        <xdr:spPr>
          <a:xfrm>
            <a:off x="1" y="751419"/>
            <a:ext cx="3682999" cy="804331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1D4C8274-E93D-ABB3-5127-D5913E5BA58E}"/>
              </a:ext>
            </a:extLst>
          </xdr:cNvPr>
          <xdr:cNvSpPr/>
        </xdr:nvSpPr>
        <xdr:spPr>
          <a:xfrm>
            <a:off x="42333" y="764118"/>
            <a:ext cx="1176867" cy="383993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164FE331-F525-49CD-9581-F176A3940D44}"/>
              </a:ext>
            </a:extLst>
          </xdr:cNvPr>
          <xdr:cNvSpPr/>
        </xdr:nvSpPr>
        <xdr:spPr>
          <a:xfrm>
            <a:off x="1263657" y="757771"/>
            <a:ext cx="1176867" cy="383993"/>
          </a:xfrm>
          <a:prstGeom prst="rect">
            <a:avLst/>
          </a:prstGeom>
          <a:solidFill>
            <a:srgbClr val="BDD7E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2D3305BC-69C3-4EC0-ABDF-2FC81786E4AD}"/>
              </a:ext>
            </a:extLst>
          </xdr:cNvPr>
          <xdr:cNvSpPr/>
        </xdr:nvSpPr>
        <xdr:spPr>
          <a:xfrm>
            <a:off x="2484968" y="751420"/>
            <a:ext cx="1176867" cy="38399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3AE128FC-336C-2156-33F1-FCDED7CA2955}"/>
              </a:ext>
            </a:extLst>
          </xdr:cNvPr>
          <xdr:cNvSpPr txBox="1"/>
        </xdr:nvSpPr>
        <xdr:spPr>
          <a:xfrm>
            <a:off x="42332" y="1029252"/>
            <a:ext cx="1176867" cy="4841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/>
              <a:t>VENCIDO</a:t>
            </a:r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BE8F8786-CE16-4DA2-BB3C-6E046E7E498C}"/>
              </a:ext>
            </a:extLst>
          </xdr:cNvPr>
          <xdr:cNvSpPr txBox="1"/>
        </xdr:nvSpPr>
        <xdr:spPr>
          <a:xfrm>
            <a:off x="1263656" y="1022902"/>
            <a:ext cx="1176867" cy="4841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/>
              <a:t>MÊS</a:t>
            </a:r>
            <a:r>
              <a:rPr lang="pt-BR" sz="1100" b="1" baseline="0"/>
              <a:t> DE VENCIMENTO</a:t>
            </a:r>
            <a:endParaRPr lang="pt-BR" sz="1100" b="1"/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91227F3B-EEAC-4DEE-A545-3E09D9B00D22}"/>
              </a:ext>
            </a:extLst>
          </xdr:cNvPr>
          <xdr:cNvSpPr txBox="1"/>
        </xdr:nvSpPr>
        <xdr:spPr>
          <a:xfrm>
            <a:off x="2484971" y="1027139"/>
            <a:ext cx="1176867" cy="4841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/>
              <a:t>ALERTA</a:t>
            </a:r>
          </a:p>
        </xdr:txBody>
      </xdr:sp>
    </xdr:grpSp>
    <xdr:clientData/>
  </xdr:twoCellAnchor>
  <xdr:twoCellAnchor editAs="oneCell">
    <xdr:from>
      <xdr:col>6</xdr:col>
      <xdr:colOff>10584</xdr:colOff>
      <xdr:row>2</xdr:row>
      <xdr:rowOff>180976</xdr:rowOff>
    </xdr:from>
    <xdr:to>
      <xdr:col>16383</xdr:col>
      <xdr:colOff>287453</xdr:colOff>
      <xdr:row>7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IPO DO DOC">
              <a:extLst>
                <a:ext uri="{FF2B5EF4-FFF2-40B4-BE49-F238E27FC236}">
                  <a16:creationId xmlns:a16="http://schemas.microsoft.com/office/drawing/2014/main" id="{AECCDE6A-568F-0336-18A4-C82B2D540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O DO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7417" y="561976"/>
              <a:ext cx="8974666" cy="962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1100965</xdr:colOff>
      <xdr:row>0</xdr:row>
      <xdr:rowOff>0</xdr:rowOff>
    </xdr:from>
    <xdr:to>
      <xdr:col>16382</xdr:col>
      <xdr:colOff>63499</xdr:colOff>
      <xdr:row>2</xdr:row>
      <xdr:rowOff>180600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4DC602-7DDE-4EAF-A8A4-67AF99C5808D}"/>
            </a:ext>
          </a:extLst>
        </xdr:cNvPr>
        <xdr:cNvSpPr/>
      </xdr:nvSpPr>
      <xdr:spPr>
        <a:xfrm>
          <a:off x="15187382" y="0"/>
          <a:ext cx="2095200" cy="5616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>
              <a:solidFill>
                <a:schemeClr val="bg2"/>
              </a:solidFill>
              <a:latin typeface="+mn-lt"/>
              <a:ea typeface="+mn-ea"/>
              <a:cs typeface="+mn-cs"/>
            </a:rPr>
            <a:t>IR PARA CONSULTAR DATA DE VENCIMENTO LICENCIAMENTO</a:t>
          </a:r>
        </a:p>
        <a:p>
          <a:pPr marL="0" indent="0" algn="ctr"/>
          <a:endParaRPr lang="pt-BR" sz="1200">
            <a:solidFill>
              <a:schemeClr val="bg2"/>
            </a:solidFill>
            <a:latin typeface="+mn-lt"/>
            <a:ea typeface="+mn-ea"/>
            <a:cs typeface="+mn-cs"/>
          </a:endParaRPr>
        </a:p>
        <a:p>
          <a:pPr marL="0" indent="0" algn="ctr"/>
          <a:endParaRPr lang="pt-BR" sz="12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1221441</xdr:colOff>
      <xdr:row>3</xdr:row>
      <xdr:rowOff>168088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EEA86856-4BC2-A110-85A8-9541B54F019C}"/>
            </a:ext>
          </a:extLst>
        </xdr:cNvPr>
        <xdr:cNvSpPr txBox="1"/>
      </xdr:nvSpPr>
      <xdr:spPr>
        <a:xfrm>
          <a:off x="0" y="0"/>
          <a:ext cx="3731559" cy="739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LOGO</a:t>
          </a:r>
          <a:r>
            <a:rPr lang="pt-BR" sz="2000" b="1" baseline="0"/>
            <a:t> DA EMPRESA</a:t>
          </a:r>
          <a:endParaRPr lang="pt-BR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0</xdr:row>
      <xdr:rowOff>76200</xdr:rowOff>
    </xdr:from>
    <xdr:to>
      <xdr:col>2</xdr:col>
      <xdr:colOff>704850</xdr:colOff>
      <xdr:row>0</xdr:row>
      <xdr:rowOff>876300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BF13B-F1BC-40C8-8CD7-0EB6F0C7C8D4}"/>
            </a:ext>
          </a:extLst>
        </xdr:cNvPr>
        <xdr:cNvSpPr/>
      </xdr:nvSpPr>
      <xdr:spPr>
        <a:xfrm>
          <a:off x="3857625" y="76200"/>
          <a:ext cx="200025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CONTROLE ADMINISTRATIVO</a:t>
          </a:r>
        </a:p>
        <a:p>
          <a:pPr algn="ctr"/>
          <a:endParaRPr lang="pt-BR" sz="1600">
            <a:solidFill>
              <a:schemeClr val="bg2"/>
            </a:solidFill>
          </a:endParaRPr>
        </a:p>
      </xdr:txBody>
    </xdr:sp>
    <xdr:clientData/>
  </xdr:twoCellAnchor>
  <xdr:twoCellAnchor>
    <xdr:from>
      <xdr:col>2</xdr:col>
      <xdr:colOff>838200</xdr:colOff>
      <xdr:row>0</xdr:row>
      <xdr:rowOff>85725</xdr:rowOff>
    </xdr:from>
    <xdr:to>
      <xdr:col>3</xdr:col>
      <xdr:colOff>1820625</xdr:colOff>
      <xdr:row>0</xdr:row>
      <xdr:rowOff>885825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DF239E-CE24-4A2B-B3BF-2FA9B1576C9A}"/>
            </a:ext>
          </a:extLst>
        </xdr:cNvPr>
        <xdr:cNvSpPr/>
      </xdr:nvSpPr>
      <xdr:spPr>
        <a:xfrm>
          <a:off x="5991225" y="85725"/>
          <a:ext cx="2001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CADASTRO</a:t>
          </a:r>
        </a:p>
      </xdr:txBody>
    </xdr:sp>
    <xdr:clientData/>
  </xdr:twoCellAnchor>
  <xdr:twoCellAnchor>
    <xdr:from>
      <xdr:col>4</xdr:col>
      <xdr:colOff>209550</xdr:colOff>
      <xdr:row>0</xdr:row>
      <xdr:rowOff>76200</xdr:rowOff>
    </xdr:from>
    <xdr:to>
      <xdr:col>5</xdr:col>
      <xdr:colOff>1020525</xdr:colOff>
      <xdr:row>0</xdr:row>
      <xdr:rowOff>876300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815DD7-6FF1-893F-C20A-64BAB2A33B3F}"/>
            </a:ext>
          </a:extLst>
        </xdr:cNvPr>
        <xdr:cNvSpPr/>
      </xdr:nvSpPr>
      <xdr:spPr>
        <a:xfrm>
          <a:off x="8210550" y="76200"/>
          <a:ext cx="2001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ANALISE DE DADOS</a:t>
          </a:r>
        </a:p>
      </xdr:txBody>
    </xdr:sp>
    <xdr:clientData/>
  </xdr:twoCellAnchor>
  <xdr:twoCellAnchor>
    <xdr:from>
      <xdr:col>5</xdr:col>
      <xdr:colOff>1219200</xdr:colOff>
      <xdr:row>0</xdr:row>
      <xdr:rowOff>76200</xdr:rowOff>
    </xdr:from>
    <xdr:to>
      <xdr:col>6</xdr:col>
      <xdr:colOff>1439625</xdr:colOff>
      <xdr:row>0</xdr:row>
      <xdr:rowOff>876300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755518-D30E-4FDA-814A-C15A9265ED4C}"/>
            </a:ext>
          </a:extLst>
        </xdr:cNvPr>
        <xdr:cNvSpPr/>
      </xdr:nvSpPr>
      <xdr:spPr>
        <a:xfrm>
          <a:off x="10410825" y="76200"/>
          <a:ext cx="2001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aseline="0">
              <a:solidFill>
                <a:schemeClr val="bg2"/>
              </a:solidFill>
            </a:rPr>
            <a:t>CONSULTAR DATA DE VENCIMENTO LICENCIAMENTO VEICULAR</a:t>
          </a:r>
        </a:p>
        <a:p>
          <a:pPr algn="ctr"/>
          <a:endParaRPr lang="pt-BR" sz="1200" baseline="0">
            <a:solidFill>
              <a:schemeClr val="bg2"/>
            </a:solidFill>
          </a:endParaRPr>
        </a:p>
        <a:p>
          <a:pPr algn="ctr"/>
          <a:endParaRPr lang="pt-BR" sz="1200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788334</xdr:colOff>
      <xdr:row>0</xdr:row>
      <xdr:rowOff>962024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1805E1E-E15A-4074-8355-453A5D4D577F}"/>
            </a:ext>
          </a:extLst>
        </xdr:cNvPr>
        <xdr:cNvSpPr txBox="1"/>
      </xdr:nvSpPr>
      <xdr:spPr>
        <a:xfrm>
          <a:off x="0" y="0"/>
          <a:ext cx="3731559" cy="962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LOGO</a:t>
          </a:r>
          <a:r>
            <a:rPr lang="pt-BR" sz="2000" b="1" baseline="0"/>
            <a:t> DA EMPRESA</a:t>
          </a:r>
          <a:endParaRPr lang="pt-BR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70925</xdr:colOff>
      <xdr:row>0</xdr:row>
      <xdr:rowOff>104775</xdr:rowOff>
    </xdr:from>
    <xdr:to>
      <xdr:col>3</xdr:col>
      <xdr:colOff>2071175</xdr:colOff>
      <xdr:row>0</xdr:row>
      <xdr:rowOff>904875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92998-B423-4B0D-3443-046592CE4113}"/>
            </a:ext>
          </a:extLst>
        </xdr:cNvPr>
        <xdr:cNvSpPr/>
      </xdr:nvSpPr>
      <xdr:spPr>
        <a:xfrm>
          <a:off x="5833550" y="104775"/>
          <a:ext cx="200025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CONTROLE DE CONTRATOS</a:t>
          </a:r>
          <a:endParaRPr lang="pt-BR" sz="1600">
            <a:solidFill>
              <a:schemeClr val="bg2"/>
            </a:solidFill>
          </a:endParaRPr>
        </a:p>
      </xdr:txBody>
    </xdr:sp>
    <xdr:clientData/>
  </xdr:twoCellAnchor>
  <xdr:twoCellAnchor>
    <xdr:from>
      <xdr:col>3</xdr:col>
      <xdr:colOff>2226475</xdr:colOff>
      <xdr:row>0</xdr:row>
      <xdr:rowOff>104775</xdr:rowOff>
    </xdr:from>
    <xdr:to>
      <xdr:col>4</xdr:col>
      <xdr:colOff>797725</xdr:colOff>
      <xdr:row>0</xdr:row>
      <xdr:rowOff>904875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D1B96E-80A7-4223-B054-CA4F98A445F3}"/>
            </a:ext>
          </a:extLst>
        </xdr:cNvPr>
        <xdr:cNvSpPr/>
      </xdr:nvSpPr>
      <xdr:spPr>
        <a:xfrm>
          <a:off x="7989100" y="104775"/>
          <a:ext cx="200025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CADASTRO</a:t>
          </a:r>
        </a:p>
      </xdr:txBody>
    </xdr:sp>
    <xdr:clientData/>
  </xdr:twoCellAnchor>
  <xdr:twoCellAnchor>
    <xdr:from>
      <xdr:col>2</xdr:col>
      <xdr:colOff>104775</xdr:colOff>
      <xdr:row>0</xdr:row>
      <xdr:rowOff>104775</xdr:rowOff>
    </xdr:from>
    <xdr:to>
      <xdr:col>2</xdr:col>
      <xdr:colOff>2106375</xdr:colOff>
      <xdr:row>0</xdr:row>
      <xdr:rowOff>904875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768F63-A52F-4083-9C60-382B9CE8769E}"/>
            </a:ext>
          </a:extLst>
        </xdr:cNvPr>
        <xdr:cNvSpPr/>
      </xdr:nvSpPr>
      <xdr:spPr>
        <a:xfrm>
          <a:off x="3676650" y="104775"/>
          <a:ext cx="2001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ANALISE DE DADOS</a:t>
          </a:r>
        </a:p>
      </xdr:txBody>
    </xdr:sp>
    <xdr:clientData/>
  </xdr:twoCellAnchor>
  <xdr:twoCellAnchor>
    <xdr:from>
      <xdr:col>4</xdr:col>
      <xdr:colOff>953025</xdr:colOff>
      <xdr:row>0</xdr:row>
      <xdr:rowOff>104775</xdr:rowOff>
    </xdr:from>
    <xdr:to>
      <xdr:col>4</xdr:col>
      <xdr:colOff>2954625</xdr:colOff>
      <xdr:row>0</xdr:row>
      <xdr:rowOff>904875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3738A4-654C-4F80-92F4-73E784B7CEFB}"/>
            </a:ext>
          </a:extLst>
        </xdr:cNvPr>
        <xdr:cNvSpPr/>
      </xdr:nvSpPr>
      <xdr:spPr>
        <a:xfrm>
          <a:off x="10144650" y="104775"/>
          <a:ext cx="2001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CONSULTAR DATA DE VENCIMENTO LICENCIAMENTO</a:t>
          </a:r>
        </a:p>
        <a:p>
          <a:pPr algn="ctr"/>
          <a:endParaRPr lang="pt-BR" sz="1600" baseline="0">
            <a:solidFill>
              <a:schemeClr val="bg2"/>
            </a:solidFill>
          </a:endParaRPr>
        </a:p>
        <a:p>
          <a:pPr algn="ctr"/>
          <a:endParaRPr lang="pt-BR" sz="1600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1847849</xdr:colOff>
      <xdr:row>0</xdr:row>
      <xdr:rowOff>971550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B9F2256-DE51-4209-8B06-8066A943EC2C}"/>
            </a:ext>
          </a:extLst>
        </xdr:cNvPr>
        <xdr:cNvSpPr txBox="1"/>
      </xdr:nvSpPr>
      <xdr:spPr>
        <a:xfrm>
          <a:off x="0" y="0"/>
          <a:ext cx="3562349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LOGO</a:t>
          </a:r>
          <a:r>
            <a:rPr lang="pt-BR" sz="2000" b="1" baseline="0"/>
            <a:t> DA EMPRESA</a:t>
          </a:r>
          <a:endParaRPr lang="pt-BR" sz="2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12</xdr:col>
      <xdr:colOff>19050</xdr:colOff>
      <xdr:row>2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72524C4-BEF4-BF74-20B1-AEA7254FFB11}"/>
            </a:ext>
          </a:extLst>
        </xdr:cNvPr>
        <xdr:cNvSpPr txBox="1"/>
      </xdr:nvSpPr>
      <xdr:spPr>
        <a:xfrm>
          <a:off x="19050" y="9525"/>
          <a:ext cx="79438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CONSULTA DE LICENCIAMENTO CAMINHÕES, MUNCK ETC;</a:t>
          </a:r>
          <a:r>
            <a:rPr lang="pt-BR" sz="1600"/>
            <a:t> </a:t>
          </a:r>
        </a:p>
      </xdr:txBody>
    </xdr:sp>
    <xdr:clientData/>
  </xdr:twoCellAnchor>
  <xdr:twoCellAnchor>
    <xdr:from>
      <xdr:col>0</xdr:col>
      <xdr:colOff>0</xdr:colOff>
      <xdr:row>14</xdr:row>
      <xdr:rowOff>180975</xdr:rowOff>
    </xdr:from>
    <xdr:to>
      <xdr:col>12</xdr:col>
      <xdr:colOff>9524</xdr:colOff>
      <xdr:row>16</xdr:row>
      <xdr:rowOff>190500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7396FC2-BEB8-449A-962C-F0C89CA46911}"/>
            </a:ext>
          </a:extLst>
        </xdr:cNvPr>
        <xdr:cNvSpPr txBox="1"/>
      </xdr:nvSpPr>
      <xdr:spPr>
        <a:xfrm>
          <a:off x="0" y="2895600"/>
          <a:ext cx="7953374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CONSULTA DE LICENCIAMENTO CARROS;</a:t>
          </a:r>
          <a:r>
            <a:rPr lang="pt-BR" sz="1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209550</xdr:colOff>
      <xdr:row>1</xdr:row>
      <xdr:rowOff>609600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952D12-7AA0-4199-B66E-853E81BCF502}"/>
            </a:ext>
          </a:extLst>
        </xdr:cNvPr>
        <xdr:cNvSpPr/>
      </xdr:nvSpPr>
      <xdr:spPr>
        <a:xfrm>
          <a:off x="0" y="0"/>
          <a:ext cx="2524125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CONTROLE DE CONTRATOS</a:t>
          </a:r>
          <a:endParaRPr lang="pt-BR" sz="1600">
            <a:solidFill>
              <a:schemeClr val="bg2"/>
            </a:solidFill>
          </a:endParaRPr>
        </a:p>
      </xdr:txBody>
    </xdr:sp>
    <xdr:clientData/>
  </xdr:twoCellAnchor>
  <xdr:twoCellAnchor>
    <xdr:from>
      <xdr:col>6</xdr:col>
      <xdr:colOff>1276350</xdr:colOff>
      <xdr:row>0</xdr:row>
      <xdr:rowOff>0</xdr:rowOff>
    </xdr:from>
    <xdr:to>
      <xdr:col>8</xdr:col>
      <xdr:colOff>1437750</xdr:colOff>
      <xdr:row>1</xdr:row>
      <xdr:rowOff>609600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19C49F-CF6A-4D0B-9DB0-F1378FB965E3}"/>
            </a:ext>
          </a:extLst>
        </xdr:cNvPr>
        <xdr:cNvSpPr/>
      </xdr:nvSpPr>
      <xdr:spPr>
        <a:xfrm>
          <a:off x="5667375" y="0"/>
          <a:ext cx="2523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CONTROLE ADMINISTRATIVO</a:t>
          </a:r>
        </a:p>
        <a:p>
          <a:pPr algn="ctr"/>
          <a:endParaRPr lang="pt-BR" sz="1600">
            <a:solidFill>
              <a:schemeClr val="bg2"/>
            </a:solidFill>
          </a:endParaRPr>
        </a:p>
      </xdr:txBody>
    </xdr:sp>
    <xdr:clientData/>
  </xdr:twoCellAnchor>
  <xdr:twoCellAnchor>
    <xdr:from>
      <xdr:col>4</xdr:col>
      <xdr:colOff>519375</xdr:colOff>
      <xdr:row>0</xdr:row>
      <xdr:rowOff>0</xdr:rowOff>
    </xdr:from>
    <xdr:to>
      <xdr:col>6</xdr:col>
      <xdr:colOff>966525</xdr:colOff>
      <xdr:row>1</xdr:row>
      <xdr:rowOff>609600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6C43D6-2849-4358-9146-DA26F4533D64}"/>
            </a:ext>
          </a:extLst>
        </xdr:cNvPr>
        <xdr:cNvSpPr/>
      </xdr:nvSpPr>
      <xdr:spPr>
        <a:xfrm>
          <a:off x="2833950" y="0"/>
          <a:ext cx="2523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ANALISE DE DADOS</a:t>
          </a:r>
        </a:p>
      </xdr:txBody>
    </xdr:sp>
    <xdr:clientData/>
  </xdr:twoCellAnchor>
  <xdr:twoCellAnchor>
    <xdr:from>
      <xdr:col>8</xdr:col>
      <xdr:colOff>1762125</xdr:colOff>
      <xdr:row>0</xdr:row>
      <xdr:rowOff>9525</xdr:rowOff>
    </xdr:from>
    <xdr:to>
      <xdr:col>10</xdr:col>
      <xdr:colOff>570975</xdr:colOff>
      <xdr:row>1</xdr:row>
      <xdr:rowOff>619125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F607AB-C141-403C-B46A-364BF30481D1}"/>
            </a:ext>
          </a:extLst>
        </xdr:cNvPr>
        <xdr:cNvSpPr/>
      </xdr:nvSpPr>
      <xdr:spPr>
        <a:xfrm>
          <a:off x="8515350" y="9525"/>
          <a:ext cx="25236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2"/>
              </a:solidFill>
            </a:rPr>
            <a:t>IR</a:t>
          </a:r>
          <a:r>
            <a:rPr lang="pt-BR" sz="1600" baseline="0">
              <a:solidFill>
                <a:schemeClr val="bg2"/>
              </a:solidFill>
            </a:rPr>
            <a:t> PARA CONSULTAR DATA DE VENCIMENTO LICENCIAMENTO</a:t>
          </a:r>
        </a:p>
        <a:p>
          <a:pPr algn="ctr"/>
          <a:endParaRPr lang="pt-BR" sz="1600" baseline="0">
            <a:solidFill>
              <a:schemeClr val="bg2"/>
            </a:solidFill>
          </a:endParaRPr>
        </a:p>
        <a:p>
          <a:pPr algn="ctr"/>
          <a:endParaRPr lang="pt-BR" sz="1600">
            <a:solidFill>
              <a:schemeClr val="bg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CSILVA" refreshedDate="46318.604430902778" createdVersion="8" refreshedVersion="8" minRefreshableVersion="3" recordCount="608" xr:uid="{6CE06619-258E-4BAD-9123-F468E3FF6F61}">
  <cacheSource type="worksheet">
    <worksheetSource name="Tabela2"/>
  </cacheSource>
  <cacheFields count="11">
    <cacheField name="NOME" numFmtId="0">
      <sharedItems containsBlank="1" count="98">
        <s v="RAFAEL OLIVEIRA DA SILVA"/>
        <s v="FRANCINEIDE APARECIDA VICENTE"/>
        <s v="MARLUCE RODRIGUES LOPES"/>
        <s v="JOÃO CARLOS DA SILVA"/>
        <s v="PAULO HENRIQUE DOS SANTOS ANDRADE"/>
        <s v="WISLAN VICENTE DA SILVA"/>
        <s v="GILMAR DONIZETTE BENITI GARCIA JUNIOR"/>
        <s v="ANTONIO CARLOS DA SILVA DE AMORIM"/>
        <s v="ADELINO SANTA ROSA"/>
        <s v="ROQUE MOREIRA SANTA ROSA"/>
        <s v="LEANDRO JESUS BRITO"/>
        <s v="HENRIQUE OLIVEIRA DOS SANTOS"/>
        <s v="PABLO GONÇALVES DE PAULA"/>
        <s v="ADENILTON GOMES DE OLIVEIRA"/>
        <s v="MARCOS ROBERTO RATEIRO"/>
        <s v="HERCULES DE PAULA E OLIVEIRA"/>
        <s v="MATHEUS PEREIRA DOS SANTOS"/>
        <s v="PAULO HENRIQUE DA SILVA BUENO"/>
        <s v="WELLYTON SALVIANO LOPES"/>
        <s v="MARCELO ALVES DA SILVA"/>
        <s v="DOUGLAS DANIEL LIMA ARCEBISPO"/>
        <s v="RONILDO JORGE LINS"/>
        <s v="JOSE ROBERTO DA SILVA MELO"/>
        <s v="RODRIGO COELHO DE ALMEIDA"/>
        <s v="HERICLES JESUS DA SILVA"/>
        <s v="_x000a_MARCOS SILVA SOUZA"/>
        <s v="GILVAN VIANA SOUZA"/>
        <s v="PEDRO ALBERTO LIRA DE OLIVEIRA SANTOS"/>
        <s v="DENILSON DA SILVA SANTOS"/>
        <s v="JOSE HENRIQUE FERREIRA DOS SANTOS"/>
        <s v="JOSE GABRIEL AGNALDO BISPO DOS SANTOS"/>
        <s v="NIEL VITORIO DOS SANTOS"/>
        <s v="LUIZ RICARDO SOUZA"/>
        <s v="JONAS SILVA CRUZ"/>
        <s v="JAILSON SILVA DO NASCIMENTO"/>
        <s v="WASHINGTON VITAL DA SILVA"/>
        <s v="WYLLITON ELIO DA SILVA"/>
        <s v="JOAO CABOCLO DA SILVA NETO"/>
        <s v="IVANILDO MARCELINO DA SILVA"/>
        <s v="LUIS BRUNO SANTOS MARTINS"/>
        <s v="ANTONIO MARCOS DA ANUNCIAÇÃO FONSECA"/>
        <s v="ALINE SOUZA DOS SANTOS ANUNCIAÇÃO"/>
        <s v="GABRIEL VICENTE DA SILVA"/>
        <s v="EDCLEI GOMES DE LIMA"/>
        <s v="FABIO DE SÁ"/>
        <s v="ANTONIO DA CONCEICAO DOS SANTOS JUNIOR"/>
        <s v="ADRIANO ANTONIO DE QUEIROZ"/>
        <s v="DHONE CARNEIRO OLIVEIRA"/>
        <s v="DIEGO SILVA DOS SANTOS"/>
        <s v="GILDO ALVES DO NASCIMENTO"/>
        <s v="JOSE CICERO CABOCLO DA SILVA"/>
        <s v="JOSE CARLOS DE ALMEIDA"/>
        <s v="ADÃO JOSE BENTO"/>
        <s v="ALEXANDRE LINS DO NASCIMENTO"/>
        <s v="ANDRE AMERICO DA SILVA SANTOS"/>
        <s v="ANDERSON ROBERTO DA SILVA"/>
        <s v="WELLINGTON ROCHA DOS SANTOS"/>
        <s v="JOSE ROBERTO FIRMINO DE SOUZA"/>
        <s v="WELLINGTON JOSE DA SILVA"/>
        <s v="JOSIAS GUEDES DOS SANTOS"/>
        <s v="DARLAN DAVID FIRMINO DA SILVA"/>
        <s v="ALEXANDRE GOMES DA SILVA"/>
        <s v="CARLOS DANIEL DA SILVA"/>
        <s v="ISRAEL VERCOLINO DA SILVA"/>
        <s v="VANDERLI MOREIRA DIAS"/>
        <s v="AMERCO GOMES DA SILVA"/>
        <s v="JOHN LENNON SILVA DE SOUZA"/>
        <s v="GEIVER ALONZO HINESTROZA NUNES"/>
        <s v="FRANCISCO PEREIRA DA SILVA"/>
        <s v="EDIVALDO CARVALHO DA SILVA"/>
        <s v="ABEL JOSE DOS SANTOS"/>
        <s v="MIGUEL ALVES BEZERRA"/>
        <s v="JOSE MOREIRA DIAS"/>
        <s v="JOCELINO NEVES DE AGUILAR"/>
        <s v="ADILSON CARVALHO FONSECA"/>
        <s v="WILLIAN SANTANA DA SILVA"/>
        <s v="VALDEIR MIRANDA DA ROCHA"/>
        <m/>
        <s v=" JOSE CICERO CABOCLO DA SILVA" u="1"/>
        <s v="xxxxxxxxx" u="1"/>
        <s v="xxxxxxxxxxxxxxxxx" u="1"/>
        <s v="sdasdasdasda" u="1"/>
        <s v="TESTE TESTE TESTE" u="1"/>
        <s v="asdasdas" u="1"/>
        <s v="asdasd" u="1"/>
        <s v="xxxxxxxxxxxxxxxxxx" u="1"/>
        <s v="sdasdasdasdas" u="1"/>
        <s v="XXXXXXXXXXXXXXXXXXX" u="1"/>
        <s v="BLABLABAL" u="1"/>
        <s v="ANTONIO CARLOS" u="1"/>
        <s v="VALESKA POPOZUDA" u="1"/>
        <s v="JUBILEUZINHO" u="1"/>
        <s v="RAYSSA SILVA" u="1"/>
        <s v="TESTE TESTE" u="1"/>
        <s v="ABCOD" u="1"/>
        <s v="IAJFIASIFJSI" u="1"/>
        <s v="FFASF" u="1"/>
        <s v="BARBARA VOLTAREL" u="1"/>
      </sharedItems>
    </cacheField>
    <cacheField name="FUNÇÃO" numFmtId="0">
      <sharedItems containsBlank="1" count="20">
        <s v="ANALISTA ADMINSITRATIVO"/>
        <s v="AUXILIAR ADMINISTRATIVO"/>
        <s v="AJUDANTE"/>
        <s v="OPERADOR DE GUINDASTE"/>
        <s v="TEC. SEG. NO TRABAL."/>
        <s v="ALMOXARIFE"/>
        <s v="CALDEIREIRO"/>
        <s v="SOLDADOR"/>
        <s v="MONTADOR INDUSTRIAL"/>
        <s v="OPERADOR DE MUCK"/>
        <s v="ENCANADOR"/>
        <s v="MONTADOR DE ANDAIME"/>
        <s v="FUNILEIRO"/>
        <s v="MONTAGENS INDUSTRIAL"/>
        <m/>
        <s v="MONTAGENS INDUSTRIA" u="1"/>
        <s v="OPERADOR DE MUNCK" u="1"/>
        <s v="TECNICO EM SEGURANÇA NO TRABAL" u="1"/>
        <s v="GERENTE" u="1"/>
        <s v="TEC. SEG. NO TRABALHO" u="1"/>
      </sharedItems>
    </cacheField>
    <cacheField name="ADMISSÃO" numFmtId="14">
      <sharedItems containsDate="1" containsBlank="1" containsMixedTypes="1" minDate="2016-06-13T00:00:00" maxDate="2026-08-22T00:00:00"/>
    </cacheField>
    <cacheField name="TERMINO DE CONTRATO " numFmtId="14">
      <sharedItems containsDate="1" containsBlank="1" containsMixedTypes="1" minDate="2016-06-13T00:00:00" maxDate="2026-11-21T00:00:00"/>
    </cacheField>
    <cacheField name="RENOVADO ? " numFmtId="0">
      <sharedItems containsBlank="1"/>
    </cacheField>
    <cacheField name="STATUS COLABORADOR" numFmtId="0">
      <sharedItems containsBlank="1" count="6">
        <s v="EFETIVO"/>
        <s v="DESLIGADO"/>
        <s v="AFASTADO"/>
        <s v="AVISO PRÉVIO"/>
        <s v="CONTRATO"/>
        <m/>
      </sharedItems>
    </cacheField>
    <cacheField name="REALIZAÇÃO DO ASO" numFmtId="14">
      <sharedItems containsNonDate="0" containsDate="1" containsString="0" containsBlank="1" minDate="2024-10-17T00:00:00" maxDate="2026-10-03T00:00:00"/>
    </cacheField>
    <cacheField name="PROXIMO ASO" numFmtId="14">
      <sharedItems containsDate="1" containsBlank="1" containsMixedTypes="1" minDate="2021-03-01T00:00:00" maxDate="2027-10-03T00:00:00" count="80">
        <d v="2027-05-05T00:00:00"/>
        <d v="2027-01-26T00:00:00"/>
        <d v="2027-04-22T00:00:00"/>
        <d v="2025-10-17T00:00:00"/>
        <d v="2027-02-11T00:00:00"/>
        <d v="2027-06-10T00:00:00"/>
        <d v="2027-07-31T00:00:00"/>
        <d v="2027-09-28T00:00:00"/>
        <d v="2027-10-02T00:00:00"/>
        <d v="2026-10-07T00:00:00"/>
        <d v="2025-10-21T00:00:00"/>
        <d v="2027-01-12T00:00:00"/>
        <d v="2027-02-26T00:00:00"/>
        <d v="2026-05-07T00:00:00"/>
        <d v="2027-08-13T00:00:00"/>
        <d v="2026-09-26T00:00:00"/>
        <d v="2026-10-08T00:00:00"/>
        <d v="2026-10-13T00:00:00"/>
        <d v="2026-10-21T00:00:00"/>
        <d v="2026-10-22T00:00:00"/>
        <d v="2026-11-03T00:00:00"/>
        <d v="2026-11-10T00:00:00"/>
        <d v="2026-11-14T00:00:00"/>
        <d v="2027-01-08T00:00:00"/>
        <d v="2027-01-13T00:00:00"/>
        <d v="2027-02-05T00:00:00"/>
        <d v="2027-02-09T00:00:00"/>
        <d v="2027-02-24T00:00:00"/>
        <d v="2027-02-23T00:00:00"/>
        <d v="2027-03-09T00:00:00"/>
        <d v="2027-03-11T00:00:00"/>
        <d v="2027-03-23T00:00:00"/>
        <d v="2027-03-25T00:00:00"/>
        <d v="2027-03-30T00:00:00"/>
        <d v="2027-03-31T00:00:00"/>
        <d v="2027-04-06T00:00:00"/>
        <d v="2027-04-07T00:00:00"/>
        <d v="2027-04-08T00:00:00"/>
        <d v="2027-04-09T00:00:00"/>
        <d v="2027-04-10T00:00:00"/>
        <d v="2027-06-05T00:00:00"/>
        <d v="2027-06-17T00:00:00"/>
        <d v="2027-06-23T00:00:00"/>
        <d v="2027-07-30T00:00:00"/>
        <d v="2027-07-29T00:00:00"/>
        <d v="2027-07-03T00:00:00"/>
        <d v="2027-07-20T00:00:00"/>
        <d v="2027-07-21T00:00:00"/>
        <d v="2027-07-27T00:00:00"/>
        <d v="2027-08-14T00:00:00"/>
        <d v="2027-08-20T00:00:00"/>
        <s v=""/>
        <d v="2026-10-06T00:00:00" u="1"/>
        <d v="2026-09-19T00:00:00" u="1"/>
        <d v="2026-08-26T00:00:00" u="1"/>
        <d v="2026-07-16T00:00:00" u="1"/>
        <d v="2026-05-09T00:00:00" u="1"/>
        <d v="2026-04-28T00:00:00" u="1"/>
        <d v="2026-03-06T00:00:00" u="1"/>
        <d v="2026-03-25T00:00:00" u="1"/>
        <d v="2026-01-27T00:00:00" u="1"/>
        <d v="2026-01-14T00:00:00" u="1"/>
        <d v="2025-10-16T00:00:00" u="1"/>
        <d v="2025-10-04T00:00:00" u="1"/>
        <d v="2025-08-08T00:00:00" u="1"/>
        <d v="2025-09-20T00:00:00" u="1"/>
        <d v="2025-07-24T00:00:00" u="1"/>
        <d v="2025-07-02T00:00:00" u="1"/>
        <d v="2021-03-01T00:00:00" u="1"/>
        <d v="2025-07-03T00:00:00" u="1"/>
        <d v="2025-07-01T00:00:00" u="1"/>
        <d v="2026-07-01T00:00:00" u="1"/>
        <d v="2024-07-02T00:00:00" u="1"/>
        <d v="2025-06-30T00:00:00" u="1"/>
        <d v="2025-06-01T00:00:00" u="1"/>
        <d v="2025-07-06T00:00:00" u="1"/>
        <d v="2025-07-07T00:00:00" u="1"/>
        <d v="2025-06-27T00:00:00" u="1"/>
        <d v="2025-06-28T00:00:00" u="1"/>
        <m u="1"/>
      </sharedItems>
    </cacheField>
    <cacheField name="SITUAÇÃO DO ASO" numFmtId="14">
      <sharedItems count="382">
        <s v="194 Dia(s) Restante"/>
        <s v="95 Dia(s) Restante"/>
        <s v="181 Dia(s) Restante"/>
        <s v="VENCIDO"/>
        <s v="111 Dia(s) Restante"/>
        <s v="230 Dia(s) Restante"/>
        <s v="281 Dia(s) Restante"/>
        <s v="340 Dia(s) Restante"/>
        <s v="344 Dia(s) Restante"/>
        <s v="81 Dia(s) Restante"/>
        <s v="126 Dia(s) Restante"/>
        <s v="294 Dia(s) Restante"/>
        <s v="11 Dia(s) Restante"/>
        <s v="18 Dia(s) Restante"/>
        <s v="22 Dia(s) Restante"/>
        <s v="77 Dia(s) Restante"/>
        <s v="82 Dia(s) Restante"/>
        <s v="105 Dia(s) Restante"/>
        <s v="109 Dia(s) Restante"/>
        <s v="124 Dia(s) Restante"/>
        <s v="123 Dia(s) Restante"/>
        <s v="137 Dia(s) Restante"/>
        <s v="139 Dia(s) Restante"/>
        <s v="151 Dia(s) Restante"/>
        <s v="153 Dia(s) Restante"/>
        <s v="158 Dia(s) Restante"/>
        <s v="159 Dia(s) Restante"/>
        <s v="165 Dia(s) Restante"/>
        <s v="166 Dia(s) Restante"/>
        <s v="167 Dia(s) Restante"/>
        <s v="168 Dia(s) Restante"/>
        <s v="169 Dia(s) Restante"/>
        <s v="225 Dia(s) Restante"/>
        <s v="237 Dia(s) Restante"/>
        <s v="243 Dia(s) Restante"/>
        <s v="280 Dia(s) Restante"/>
        <s v="279 Dia(s) Restante"/>
        <s v="253 Dia(s) Restante"/>
        <s v="270 Dia(s) Restante"/>
        <s v="271 Dia(s) Restante"/>
        <s v="277 Dia(s) Restante"/>
        <s v="295 Dia(s) Restante"/>
        <s v="301 Dia(s) Restante"/>
        <s v=""/>
        <s v="196 Dia(s) Restante" u="1"/>
        <s v="97 Dia(s) Restante" u="1"/>
        <s v="183 Dia(s) Restante" u="1"/>
        <s v="113 Dia(s) Restante" u="1"/>
        <s v="232 Dia(s) Restante" u="1"/>
        <s v="283 Dia(s) Restante" u="1"/>
        <s v="342 Dia(s) Restante" u="1"/>
        <s v="346 Dia(s) Restante" u="1"/>
        <s v="83 Dia(s) Restante" u="1"/>
        <s v="128 Dia(s) Restante" u="1"/>
        <s v="296 Dia(s) Restante" u="1"/>
        <s v="ULTIMO DIA DO ASO" u="1"/>
        <s v="1 Dia(s) Restante" u="1"/>
        <s v="13 Dia(s) Restante" u="1"/>
        <s v="20 Dia(s) Restante" u="1"/>
        <s v="24 Dia(s) Restante" u="1"/>
        <s v="79 Dia(s) Restante" u="1"/>
        <s v="84 Dia(s) Restante" u="1"/>
        <s v="107 Dia(s) Restante" u="1"/>
        <s v="125 Dia(s) Restante" u="1"/>
        <s v="141 Dia(s) Restante" u="1"/>
        <s v="155 Dia(s) Restante" u="1"/>
        <s v="160 Dia(s) Restante" u="1"/>
        <s v="161 Dia(s) Restante" u="1"/>
        <s v="170 Dia(s) Restante" u="1"/>
        <s v="171 Dia(s) Restante" u="1"/>
        <s v="227 Dia(s) Restante" u="1"/>
        <s v="239 Dia(s) Restante" u="1"/>
        <s v="245 Dia(s) Restante" u="1"/>
        <s v="282 Dia(s) Restante" u="1"/>
        <s v="255 Dia(s) Restante" u="1"/>
        <s v="272 Dia(s) Restante" u="1"/>
        <s v="273 Dia(s) Restante" u="1"/>
        <s v="297 Dia(s) Restante" u="1"/>
        <s v="303 Dia(s) Restante" u="1"/>
        <s v="197 Dia(s) Restante" u="1"/>
        <s v="98 Dia(s) Restante" u="1"/>
        <s v="184 Dia(s) Restante" u="1"/>
        <s v="114 Dia(s) Restante" u="1"/>
        <s v="233 Dia(s) Restante" u="1"/>
        <s v="284 Dia(s) Restante" u="1"/>
        <s v="343 Dia(s) Restante" u="1"/>
        <s v="347 Dia(s) Restante" u="1"/>
        <s v="129 Dia(s) Restante" u="1"/>
        <s v="2 Dia(s) Restante" u="1"/>
        <s v="14 Dia(s) Restante" u="1"/>
        <s v="21 Dia(s) Restante" u="1"/>
        <s v="25 Dia(s) Restante" u="1"/>
        <s v="80 Dia(s) Restante" u="1"/>
        <s v="85 Dia(s) Restante" u="1"/>
        <s v="108 Dia(s) Restante" u="1"/>
        <s v="112 Dia(s) Restante" u="1"/>
        <s v="127 Dia(s) Restante" u="1"/>
        <s v="140 Dia(s) Restante" u="1"/>
        <s v="142 Dia(s) Restante" u="1"/>
        <s v="154 Dia(s) Restante" u="1"/>
        <s v="156 Dia(s) Restante" u="1"/>
        <s v="162 Dia(s) Restante" u="1"/>
        <s v="172 Dia(s) Restante" u="1"/>
        <s v="228 Dia(s) Restante" u="1"/>
        <s v="240 Dia(s) Restante" u="1"/>
        <s v="246 Dia(s) Restante" u="1"/>
        <s v="256 Dia(s) Restante" u="1"/>
        <s v="274 Dia(s) Restante" u="1"/>
        <s v="298 Dia(s) Restante" u="1"/>
        <s v="304 Dia(s) Restante" u="1"/>
        <s v="201 Dia(s) Restante" u="1"/>
        <s v="102 Dia(s) Restante" u="1"/>
        <s v="188 Dia(s) Restante" u="1"/>
        <s v="118 Dia(s) Restante" u="1"/>
        <s v="288 Dia(s) Restante" u="1"/>
        <s v="351 Dia(s) Restante" u="1"/>
        <s v="88 Dia(s) Restante" u="1"/>
        <s v="133 Dia(s) Restante" u="1"/>
        <s v="5 Dia(s) Restante" u="1"/>
        <s v="6 Dia(s) Restante" u="1"/>
        <s v="29 Dia(s) Restante" u="1"/>
        <s v="89 Dia(s) Restante" u="1"/>
        <s v="116 Dia(s) Restante" u="1"/>
        <s v="131 Dia(s) Restante" u="1"/>
        <s v="130 Dia(s) Restante" u="1"/>
        <s v="144 Dia(s) Restante" u="1"/>
        <s v="146 Dia(s) Restante" u="1"/>
        <s v="173 Dia(s) Restante" u="1"/>
        <s v="174 Dia(s) Restante" u="1"/>
        <s v="175 Dia(s) Restante" u="1"/>
        <s v="176 Dia(s) Restante" u="1"/>
        <s v="244 Dia(s) Restante" u="1"/>
        <s v="250 Dia(s) Restante" u="1"/>
        <s v="287 Dia(s) Restante" u="1"/>
        <s v="286 Dia(s) Restante" u="1"/>
        <s v="260 Dia(s) Restante" u="1"/>
        <s v="278 Dia(s) Restante" u="1"/>
        <s v="302 Dia(s) Restante" u="1"/>
        <s v="308 Dia(s) Restante" u="1"/>
        <s v="203 Dia(s) Restante" u="1"/>
        <s v="104 Dia(s) Restante" u="1"/>
        <s v="190 Dia(s) Restante" u="1"/>
        <s v="120 Dia(s) Restante" u="1"/>
        <s v="290 Dia(s) Restante" u="1"/>
        <s v="349 Dia(s) Restante" u="1"/>
        <s v="353 Dia(s) Restante" u="1"/>
        <s v="90 Dia(s) Restante" u="1"/>
        <s v="135 Dia(s) Restante" u="1"/>
        <s v="7 Dia(s) Restante" u="1"/>
        <s v="8 Dia(s) Restante" u="1"/>
        <s v="27 Dia(s) Restante" u="1"/>
        <s v="31 Dia(s) Restante" u="1"/>
        <s v="86 Dia(s) Restante" u="1"/>
        <s v="91 Dia(s) Restante" u="1"/>
        <s v="132 Dia(s) Restante" u="1"/>
        <s v="148 Dia(s) Restante" u="1"/>
        <s v="177 Dia(s) Restante" u="1"/>
        <s v="178 Dia(s) Restante" u="1"/>
        <s v="234 Dia(s) Restante" u="1"/>
        <s v="252 Dia(s) Restante" u="1"/>
        <s v="289 Dia(s) Restante" u="1"/>
        <s v="262 Dia(s) Restante" u="1"/>
        <s v="310 Dia(s) Restante" u="1"/>
        <s v="204 Dia(s) Restante" u="1"/>
        <s v="191 Dia(s) Restante" u="1"/>
        <s v="121 Dia(s) Restante" u="1"/>
        <s v="291 Dia(s) Restante" u="1"/>
        <s v="350 Dia(s) Restante" u="1"/>
        <s v="354 Dia(s) Restante" u="1"/>
        <s v="136 Dia(s) Restante" u="1"/>
        <s v="9 Dia(s) Restante" u="1"/>
        <s v="28 Dia(s) Restante" u="1"/>
        <s v="32 Dia(s) Restante" u="1"/>
        <s v="87 Dia(s) Restante" u="1"/>
        <s v="92 Dia(s) Restante" u="1"/>
        <s v="115 Dia(s) Restante" u="1"/>
        <s v="119 Dia(s) Restante" u="1"/>
        <s v="134 Dia(s) Restante" u="1"/>
        <s v="147 Dia(s) Restante" u="1"/>
        <s v="149 Dia(s) Restante" u="1"/>
        <s v="163 Dia(s) Restante" u="1"/>
        <s v="179 Dia(s) Restante" u="1"/>
        <s v="235 Dia(s) Restante" u="1"/>
        <s v="247 Dia(s) Restante" u="1"/>
        <s v="263 Dia(s) Restante" u="1"/>
        <s v="305 Dia(s) Restante" u="1"/>
        <s v="311 Dia(s) Restante" u="1"/>
        <s v="209 Dia(s) Restante" u="1"/>
        <s v="110 Dia(s) Restante" u="1"/>
        <s v="355 Dia(s) Restante" u="1"/>
        <s v="359 Dia(s) Restante" u="1"/>
        <s v="96 Dia(s) Restante" u="1"/>
        <s v="309 Dia(s) Restante" u="1"/>
        <s v="26 Dia(s) Restante" u="1"/>
        <s v="33 Dia(s) Restante" u="1"/>
        <s v="37 Dia(s) Restante" u="1"/>
        <s v="138 Dia(s) Restante" u="1"/>
        <s v="152 Dia(s) Restante" u="1"/>
        <s v="180 Dia(s) Restante" u="1"/>
        <s v="182 Dia(s) Restante" u="1"/>
        <s v="258 Dia(s) Restante" u="1"/>
        <s v="268 Dia(s) Restante" u="1"/>
        <s v="285 Dia(s) Restante" u="1"/>
        <s v="292 Dia(s) Restante" u="1"/>
        <s v="316 Dia(s) Restante" u="1"/>
        <s v="210 Dia(s) Restante" u="1"/>
        <s v="356 Dia(s) Restante" u="1"/>
        <s v="360 Dia(s) Restante" u="1"/>
        <s v="15 Dia(s) Restante" u="1"/>
        <s v="34 Dia(s) Restante" u="1"/>
        <s v="38 Dia(s) Restante" u="1"/>
        <s v="93 Dia(s) Restante" u="1"/>
        <s v="185 Dia(s) Restante" u="1"/>
        <s v="241 Dia(s) Restante" u="1"/>
        <s v="259 Dia(s) Restante" u="1"/>
        <s v="269 Dia(s) Restante" u="1"/>
        <s v="293 Dia(s) Restante" u="1"/>
        <s v="317 Dia(s) Restante" u="1"/>
        <s v="211 Dia(s) Restante" u="1"/>
        <s v="198 Dia(s) Restante" u="1"/>
        <s v="357 Dia(s) Restante" u="1"/>
        <s v="361 Dia(s) Restante" u="1"/>
        <s v="143 Dia(s) Restante" u="1"/>
        <s v="16 Dia(s) Restante" u="1"/>
        <s v="35 Dia(s) Restante" u="1"/>
        <s v="39 Dia(s) Restante" u="1"/>
        <s v="94 Dia(s) Restante" u="1"/>
        <s v="99 Dia(s) Restante" u="1"/>
        <s v="122 Dia(s) Restante" u="1"/>
        <s v="186 Dia(s) Restante" u="1"/>
        <s v="242 Dia(s) Restante" u="1"/>
        <s v="254 Dia(s) Restante" u="1"/>
        <s v="312 Dia(s) Restante" u="1"/>
        <s v="318 Dia(s) Restante" u="1"/>
        <s v="212 Dia(s) Restante" u="1"/>
        <s v="199 Dia(s) Restante" u="1"/>
        <s v="248 Dia(s) Restante" u="1"/>
        <s v="299 Dia(s) Restante" u="1"/>
        <s v="358 Dia(s) Restante" u="1"/>
        <s v="362 Dia(s) Restante" u="1"/>
        <s v="3 Dia(s) Restante" u="1"/>
        <s v="17 Dia(s) Restante" u="1"/>
        <s v="36 Dia(s) Restante" u="1"/>
        <s v="40 Dia(s) Restante" u="1"/>
        <s v="100 Dia(s) Restante" u="1"/>
        <s v="157 Dia(s) Restante" u="1"/>
        <s v="187 Dia(s) Restante" u="1"/>
        <s v="261 Dia(s) Restante" u="1"/>
        <s v="313 Dia(s) Restante" u="1"/>
        <s v="319 Dia(s) Restante" u="1"/>
        <s v="215 Dia(s) Restante" u="1"/>
        <s v="202 Dia(s) Restante" u="1"/>
        <s v="251 Dia(s) Restante" u="1"/>
        <s v="315 Dia(s) Restante" u="1"/>
        <s v="19 Dia(s) Restante" u="1"/>
        <s v="43 Dia(s) Restante" u="1"/>
        <s v="103 Dia(s) Restante" u="1"/>
        <s v="145 Dia(s) Restante" u="1"/>
        <s v="189 Dia(s) Restante" u="1"/>
        <s v="264 Dia(s) Restante" u="1"/>
        <s v="300 Dia(s) Restante" u="1"/>
        <s v="322 Dia(s) Restante" u="1"/>
        <s v="216 Dia(s) Restante" u="1"/>
        <s v="117 Dia(s) Restante" u="1"/>
        <s v="12 Dia(s) Restante" u="1"/>
        <s v="44 Dia(s) Restante" u="1"/>
        <s v="265 Dia(s) Restante" u="1"/>
        <s v="275 Dia(s) Restante" u="1"/>
        <s v="323 Dia(s) Restante" u="1"/>
        <s v="217 Dia(s) Restante" u="1"/>
        <s v="41 Dia(s) Restante" u="1"/>
        <s v="45 Dia(s) Restante" u="1"/>
        <s v="192 Dia(s) Restante" u="1"/>
        <s v="266 Dia(s) Restante" u="1"/>
        <s v="276 Dia(s) Restante" u="1"/>
        <s v="324 Dia(s) Restante" u="1"/>
        <s v="218 Dia(s) Restante" u="1"/>
        <s v="205 Dia(s) Restante" u="1"/>
        <s v="150 Dia(s) Restante" u="1"/>
        <s v="23 Dia(s) Restante" u="1"/>
        <s v="42 Dia(s) Restante" u="1"/>
        <s v="46 Dia(s) Restante" u="1"/>
        <s v="101 Dia(s) Restante" u="1"/>
        <s v="106 Dia(s) Restante" u="1"/>
        <s v="193 Dia(s) Restante" u="1"/>
        <s v="249 Dia(s) Restante" u="1"/>
        <s v="267 Dia(s) Restante" u="1"/>
        <s v="325 Dia(s) Restante" u="1"/>
        <s v="219 Dia(s) Restante" u="1"/>
        <s v="206 Dia(s) Restante" u="1"/>
        <s v="306 Dia(s) Restante" u="1"/>
        <s v="10 Dia(s) Restante" u="1"/>
        <s v="47 Dia(s) Restante" u="1"/>
        <s v="164 Dia(s) Restante" u="1"/>
        <s v="320 Dia(s) Restante" u="1"/>
        <s v="326 Dia(s) Restante" u="1"/>
        <s v="222 Dia(s) Restante" u="1"/>
        <s v="50 Dia(s) Restante" u="1"/>
        <s v="195 Dia(s) Restante" u="1"/>
        <s v="307 Dia(s) Restante" u="1"/>
        <s v="329 Dia(s) Restante" u="1"/>
        <s v="223 Dia(s) Restante" u="1"/>
        <s v="51 Dia(s) Restante" u="1"/>
        <s v="330 Dia(s) Restante" u="1"/>
        <s v="224 Dia(s) Restante" u="1"/>
        <s v="48 Dia(s) Restante" u="1"/>
        <s v="52 Dia(s) Restante" u="1"/>
        <s v="331 Dia(s) Restante" u="1"/>
        <s v="4 Dia(s) Restante" u="1"/>
        <s v="30 Dia(s) Restante" u="1"/>
        <s v="49 Dia(s) Restante" u="1"/>
        <s v="53 Dia(s) Restante" u="1"/>
        <s v="200 Dia(s) Restante" u="1"/>
        <s v="332 Dia(s) Restante" u="1"/>
        <s v="229 Dia(s) Restante" u="1"/>
        <s v="57 Dia(s) Restante" u="1"/>
        <s v="314 Dia(s) Restante" u="1"/>
        <s v="336 Dia(s) Restante" u="1"/>
        <s v="54 Dia(s) Restante" u="1"/>
        <s v="58 Dia(s) Restante" u="1"/>
        <s v="337 Dia(s) Restante" u="1"/>
        <s v="220 Dia(s) Restante" u="1"/>
        <s v="333 Dia(s) Restante" u="1"/>
        <s v="61 Dia(s) Restante" u="1"/>
        <s v="207 Dia(s) Restante" u="1"/>
        <s v="208 Dia(s) Restante" u="1"/>
        <s v="334 Dia(s) Restante" u="1"/>
        <s v="236 Dia(s) Restante" u="1"/>
        <s v="60 Dia(s) Restante" u="1"/>
        <s v="64 Dia(s) Restante" u="1"/>
        <s v="321 Dia(s) Restante" u="1"/>
        <s v="238 Dia(s) Restante" u="1"/>
        <s v="338 Dia(s) Restante" u="1"/>
        <s v="55 Dia(s) Restante" u="1"/>
        <s v="62 Dia(s) Restante" u="1"/>
        <s v="66 Dia(s) Restante" u="1"/>
        <s v="213 Dia(s) Restante" u="1"/>
        <s v="339 Dia(s) Restante" u="1"/>
        <s v="345 Dia(s) Restante" u="1"/>
        <s v="226 Dia(s) Restante" u="1"/>
        <s v="56 Dia(s) Restante" u="1"/>
        <s v="63 Dia(s) Restante" u="1"/>
        <s v="67 Dia(s) Restante" u="1"/>
        <s v="214 Dia(s) Restante" u="1"/>
        <s v="71 Dia(s) Restante" u="1"/>
        <s v="328 Dia(s) Restante" u="1"/>
        <s v="231 Dia(s) Restante" u="1"/>
        <s v="68 Dia(s) Restante" u="1"/>
        <s v="72 Dia(s) Restante" u="1"/>
        <s v="327 Dia(s) Restante" u="1"/>
        <s v="70 Dia(s) Restante" u="1"/>
        <s v="74 Dia(s) Restante" u="1"/>
        <s v="221 Dia(s) Restante" u="1"/>
        <s v="75 Dia(s) Restante" u="1"/>
        <s v="78 Dia(s) Restante" u="1"/>
        <s v="335 Dia(s) Restante" u="1"/>
        <s v="59 Dia(s) Restante" u="1"/>
        <s v="257 Dia(s) Restante" u="1"/>
        <s v="341 Dia(s) Restante" u="1"/>
        <s v="76 Dia(s) Restante" u="1"/>
        <s v="65 Dia(s) Restante" u="1"/>
        <s v="69 Dia(s) Restante" u="1"/>
        <s v="348 Dia(s) Restante" u="1"/>
        <s v="352 Dia(s) Restante" u="1"/>
        <s v="367 Dia(s) Restante" u="1"/>
        <s v="366 Dia(s) Restante" u="1"/>
        <s v="385 Dia(s) Restante" u="1"/>
        <s v="384 Dia(s) Restante" u="1"/>
        <s v="386 Dia(s) Restante" u="1"/>
        <s v="73 Dia(s) Restante" u="1"/>
        <s v="387 Dia(s) Restante" u="1"/>
        <s v="388 Dia(s) Restante" u="1"/>
        <s v="389 Dia(s) Restante" u="1"/>
        <s v="392 Dia(s) Restante" u="1"/>
        <s v="391 Dia(s) Restante" u="1"/>
        <s v="393 Dia(s) Restante" u="1"/>
        <s v="394 Dia(s) Restante" u="1"/>
        <s v="395 Dia(s) Restante" u="1"/>
        <s v="363 Dia(s) Restante" u="1"/>
        <s v="364 Dia(s) Restante" u="1"/>
        <s v="365 Dia(s) Restante" u="1"/>
        <s v="ULTIMO DIA DE CONTRATO" u="1"/>
      </sharedItems>
    </cacheField>
    <cacheField name="STATUS ASO" numFmtId="14">
      <sharedItems count="7">
        <s v="DENTRO DO PRAZO"/>
        <s v="VENCIDO"/>
        <s v=""/>
        <s v="ULTIMO DIA DO ASO" u="1"/>
        <s v="1 Dia(s) Restante" u="1"/>
        <s v="2 Dia(s) Restante" u="1"/>
        <s v="3 Dia(s) Restante" u="1"/>
      </sharedItems>
    </cacheField>
    <cacheField name="SITUAÇÃO DO CONTRATO" numFmtId="0">
      <sharedItems count="145">
        <s v="EFETIVO"/>
        <s v="DESLIGADO"/>
        <s v="AFASTADO"/>
        <s v="13 Dia(s) Restante do AVISO PRÉVIO"/>
        <s v="17 Dia(s) Restante do CONTRATO"/>
        <s v=""/>
        <s v="28 Dia(s) Restante do AVISO PRÉVIO" u="1"/>
        <s v="7 Dia(s) Restante do CONTRATO" u="1"/>
        <s v="2 Dia(s) Restante do CONTRATO" u="1"/>
        <s v="10 Dia(s) Restante do CONTRATO" u="1"/>
        <s v="11 Dia(s) Restante do CONTRATO" u="1"/>
        <s v="9 Dia(s) Restante do CONTRATO" u="1"/>
        <s v="15 Dia(s) Restante do AVISO PRÉVIO" u="1"/>
        <s v="4 Dia(s) Restante do CONTRATO" u="1"/>
        <s v="12 Dia(s) Restante do CONTRATO" u="1"/>
        <s v="13 Dia(s) Restante do CONTRATO" u="1"/>
        <s v="19 Dia(s) Restante do CONTRATO" u="1"/>
        <s v="16 Dia(s) Restante do AVISO PRÉVIO" u="1"/>
        <s v="5 Dia(s) Restante do CONTRATO" u="1"/>
        <s v="14 Dia(s) Restante do CONTRATO" u="1"/>
        <s v="20 Dia(s) Restante do CONTRATO" u="1"/>
        <s v="VENCIDO" u="1"/>
        <s v="20 Dia(s) Restante do AVISO PRÉVIO" u="1"/>
        <s v="18 Dia(s) Restante do CONTRATO" u="1"/>
        <s v="24 Dia(s) Restante do CONTRATO" u="1"/>
        <s v="3 Dia(s) Restante do CONTRATO" u="1"/>
        <s v="1 Dia(s) Restante do CONTRATO" u="1"/>
        <s v="16 Dia(s) Restante do CONTRATO" u="1"/>
        <s v="22 Dia(s) Restante do AVISO PRÉVIO" u="1"/>
        <s v="26 Dia(s) Restante do CONTRATO" u="1"/>
        <s v="23 Dia(s) Restante do AVISO PRÉVIO" u="1"/>
        <s v="21 Dia(s) Restante do CONTRATO" u="1"/>
        <s v="27 Dia(s) Restante do CONTRATO" u="1"/>
        <s v="6 Dia(s) Restante do CONTRATO" u="1"/>
        <s v="22 Dia(s) Restante do CONTRATO" u="1"/>
        <s v="25 Dia(s) Restante do CONTRATO" u="1"/>
        <s v="32 Dia(s) Restante do CONTRATO" u="1"/>
        <s v="23 Dia(s) Restante do CONTRATO" u="1"/>
        <s v="8 Dia(s) Restante do CONTRATO" u="1"/>
        <s v="33 Dia(s) Restante do CONTRATO" u="1"/>
        <s v="28 Dia(s) Restante do CONTRATO" u="1"/>
        <s v="34 Dia(s) Restante do CONTRATO" u="1"/>
        <s v="29 Dia(s) Restante do CONTRATO" u="1"/>
        <s v="35 Dia(s) Restante do CONTRATO" u="1"/>
        <s v="31 Dia(s) Restante do CONTRATO" u="1"/>
        <s v="38 Dia(s) Restante do CONTRATO" u="1"/>
        <s v="15 Dia(s) Restante do CONTRATO" u="1"/>
        <s v="39 Dia(s) Restante do CONTRATO" u="1"/>
        <s v="30 Dia(s) Restante do CONTRATO" u="1"/>
        <s v="40 Dia(s) Restante do CONTRATO" u="1"/>
        <s v="41 Dia(s) Restante do CONTRATO" u="1"/>
        <s v="ULTIMO DIA DE CONTRATO" u="1"/>
        <s v="36 Dia(s) Restante do CONTRATO" u="1"/>
        <s v="42 Dia(s) Restante do CONTRATO" u="1"/>
        <s v="45 Dia(s) Restante do CONTRATO" u="1"/>
        <s v="37 Dia(s) Restante do CONTRATO" u="1"/>
        <s v="46 Dia(s) Restante do CONTRATO" u="1"/>
        <s v="43 Dia(s) Restante do CONTRATO" u="1"/>
        <s v="47 Dia(s) Restante do CONTRATO" u="1"/>
        <s v="49 Dia(s) Restante do CONTRATO" u="1"/>
        <s v="44 Dia(s) Restante do CONTRATO" u="1"/>
        <s v="51 Dia(s) Restante do CONTRATO" u="1"/>
        <s v="52 Dia(s) Restante do CONTRATO" u="1"/>
        <s v="56 Dia(s) Restante do CONTRATO" u="1"/>
        <s v="57 Dia(s) Restante do CONTRATO" u="1"/>
        <s v="59 Dia(s) Restante do CONTRATO" u="1"/>
        <s v="60 Dia(s) Restante do CONTRATO" u="1"/>
        <s v="63 Dia(s) Restante do CONTRATO" u="1"/>
        <s v="48 Dia(s) Restante do CONTRATO" u="1"/>
        <s v="66 Dia(s) Restante do CONTRATO" u="1"/>
        <s v="67 Dia(s) Restante do CONTRATO" u="1"/>
        <s v="70 Dia(s) Restante do CONTRATO" u="1"/>
        <s v="55 Dia(s) Restante do CONTRATO" u="1"/>
        <s v="71 Dia(s) Restante do CONTRATO" u="1"/>
        <s v="72 Dia(s) Restante do CONTRATO" u="1"/>
        <s v="73 Dia(s) Restante do CONTRATO" u="1"/>
        <s v="58 Dia(s) Restante do CONTRATO" u="1"/>
        <s v="74 Dia(s) Restante do CONTRATO" u="1"/>
        <s v="77 Dia(s) Restante do CONTRATO" u="1"/>
        <s v="78 Dia(s) Restante do CONTRATO" u="1"/>
        <s v="79 Dia(s) Restante do CONTRATO" u="1"/>
        <s v="1 Dia(s) Restante do AVISO PRÉVIO" u="1"/>
        <s v="19 Dia(s) Restante do AVISO PRÉVIO" u="1"/>
        <s v="50 Dia(s) Restante do CONTRATO" u="1"/>
        <s v="21 Dia(s) Restante do AVISO PRÉVIO" u="1"/>
        <s v="53 Dia(s) Restante do CONTRATO" u="1"/>
        <s v="54 Dia(s) Restante do CONTRATO" u="1"/>
        <s v="26 Dia(s) Restante do AVISO PRÉVIO" u="1"/>
        <s v="57 Dia(s) Restante do AVISO PRÉVIO" u="1"/>
        <s v="61 Dia(s) Restante do CONTRATO" u="1"/>
        <s v="62 Dia(s) Restante do CONTRATO" u="1"/>
        <s v="64 Dia(s) Restante do CONTRATO" u="1"/>
        <s v="65 Dia(s) Restante do CONTRATO" u="1"/>
        <s v="3 Dia(s) Restante do AVISO PRÉVIO" u="1"/>
        <s v="4 Dia(s) Restante do AVISO PRÉVIO" u="1"/>
        <s v="68 Dia(s) Restante do CONTRATO" u="1"/>
        <s v="5 Dia(s) Restante do AVISO PRÉVIO" u="1"/>
        <s v="69 Dia(s) Restante do CONTRATO" u="1"/>
        <s v="8 Dia(s) Restante do AVISO PRÉVIO" u="1"/>
        <s v="9 Dia(s) Restante do AVISO PRÉVIO" u="1"/>
        <s v="10 Dia(s) Restante do AVISO PRÉVIO" u="1"/>
        <s v="11 Dia(s) Restante do AVISO PRÉVIO" u="1"/>
        <s v="75 Dia(s) Restante do CONTRATO" u="1"/>
        <s v="12 Dia(s) Restante do AVISO PRÉVIO" u="1"/>
        <s v="76 Dia(s) Restante do CONTRATO" u="1"/>
        <s v="80 Dia(s) Restante do CONTRATO" u="1"/>
        <s v="18 Dia(s) Restante do AVISO PRÉVIO" u="1"/>
        <s v="81 Dia(s) Restante do CONTRATO" u="1"/>
        <s v="82 Dia(s) Restante do CONTRATO" u="1"/>
        <s v="2 Dia(s) Restante do AVISO PRÉVIO" u="1"/>
        <s v="83 Dia(s) Restante do CONTRATO" u="1"/>
        <s v="85 Dia(s) Restante do CONTRATO" u="1"/>
        <s v="86 Dia(s) Restante do CONTRATO" u="1"/>
        <s v="6 Dia(s) Restante do AVISO PRÉVIO" u="1"/>
        <s v="87 Dia(s) Restante do CONTRATO" u="1"/>
        <s v="7 Dia(s) Restante do AVISO PRÉVIO" u="1"/>
        <s v="24 Dia(s) Restante do AVISO PRÉVIO" u="1"/>
        <s v="88 Dia(s) Restante do CONTRATO" u="1"/>
        <s v="25 Dia(s) Restante do AVISO PRÉVIO" u="1"/>
        <s v="84 Dia(s) Restante do CONTRATO" u="1"/>
        <s v="89 Dia(s) Restante do CONTRATO" u="1"/>
        <s v="90 Dia(s) Restante do CONTRATO" u="1"/>
        <s v="30 Dia(s) Restante do AVISO PRÉVIO" u="1"/>
        <s v="93 Dia(s) Restante do CONTRATO" u="1"/>
        <s v="94 Dia(s) Restante do CONTRATO" u="1"/>
        <s v="14 Dia(s) Restante do AVISO PRÉVIO" u="1"/>
        <s v="95 Dia(s) Restante do CONTRATO" u="1"/>
        <s v="91 Dia(s) Restante do CONTRATO" u="1"/>
        <s v="92 Dia(s) Restante do CONTRATO" u="1"/>
        <s v="97 Dia(s) Restante do CONTRATO" u="1"/>
        <s v="100 Dia(s) Restante do CONTRATO" u="1"/>
        <s v="101 Dia(s) Restante do CONTRATO" u="1"/>
        <s v="102 Dia(s) Restante do CONTRATO" u="1"/>
        <s v="106 Dia(s) Restante do CONTRATO" u="1"/>
        <s v="107 Dia(s) Restante do CONTRATO" u="1"/>
        <s v="108 Dia(s) Restante do CONTRATO" u="1"/>
        <s v="17 Dia(s) Restante do AVISO PRÉVIO" u="1"/>
        <s v="AGUARDANDO DATAS DO CONTRATO" u="1"/>
        <s v="24 Dia(s) Restante" u="1"/>
        <s v="9 Dia(s) Restante" u="1"/>
        <s v="10 Dia(s) Restante" u="1"/>
        <s v="13 Dia(s) Restante" u="1"/>
        <s v="55 Dia(s) Restante" u="1"/>
        <s v="2 Dia(s) Restante" u="1"/>
        <s v="3 Dia(s) Restante" u="1"/>
      </sharedItems>
    </cacheField>
  </cacheFields>
  <extLst>
    <ext xmlns:x14="http://schemas.microsoft.com/office/spreadsheetml/2009/9/main" uri="{725AE2AE-9491-48be-B2B4-4EB974FC3084}">
      <x14:pivotCacheDefinition pivotCacheId="198285270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CSILVA" refreshedDate="46318.604431134256" createdVersion="8" refreshedVersion="8" minRefreshableVersion="3" recordCount="198" xr:uid="{04345004-56FF-48C2-B5D1-6FF9D00C5A7E}">
  <cacheSource type="worksheet">
    <worksheetSource name="Tabela5"/>
  </cacheSource>
  <cacheFields count="5">
    <cacheField name="TIPO DO DOC" numFmtId="0">
      <sharedItems containsBlank="1" count="4">
        <s v="EMPRESA"/>
        <s v="VEICULOS_LICENCIAMENTO"/>
        <s v="VEICULOS_TACOGRAFO"/>
        <m/>
      </sharedItems>
    </cacheField>
    <cacheField name="IDENTIFICAÇÃO" numFmtId="0">
      <sharedItems containsBlank="1" count="19">
        <s v="ALVARA JC SILVA"/>
        <s v="CND TRABALHISTA"/>
        <s v="CND FEDERAL"/>
        <s v="CND ESTADUAL"/>
        <s v="SEGURO DE VIDA"/>
        <s v="PCMSO"/>
        <s v="PGR"/>
        <s v="GUINDASTE 35 TON (DTA9E83)"/>
        <s v="MICRO AMARELO (DBC5982)"/>
        <s v="MICRO BRANCO (DJB3608)"/>
        <s v="MICRO AZUL (DPF1752)"/>
        <s v="GUINDASTE 70 TON (FSU5750)"/>
        <s v="MUNCK 10 TON (ING7C86)"/>
        <s v="MICRO GRANDE (DBC9E74)"/>
        <s v="MUNCK VERMELHO (APM0991)"/>
        <m/>
        <s v="MUNCK AZUL (APM0991)" u="1"/>
        <s v="MUNCK AZUL (AON0991)" u="1"/>
        <s v="LICENCIAMENT0 - UNO" u="1"/>
      </sharedItems>
    </cacheField>
    <cacheField name="VENCIMENTO" numFmtId="14">
      <sharedItems containsNonDate="0" containsDate="1" containsString="0" containsBlank="1" minDate="2023-07-06T00:00:00" maxDate="2027-08-10T00:00:00" count="55">
        <d v="2025-12-31T00:00:00"/>
        <d v="2026-08-24T00:00:00"/>
        <d v="2026-06-03T00:00:00"/>
        <d v="2026-11-29T00:00:00"/>
        <d v="2027-07-11T00:00:00"/>
        <d v="2027-04-30T00:00:00"/>
        <d v="2026-10-25T00:00:00"/>
        <d v="2026-09-15T00:00:00"/>
        <d v="2025-11-01T00:00:00"/>
        <d v="2025-09-19T00:00:00"/>
        <d v="2025-12-15T00:00:00"/>
        <d v="2025-11-15T00:00:00"/>
        <d v="2026-10-15T00:00:00"/>
        <d v="2025-06-27T00:00:00"/>
        <d v="2023-07-06T00:00:00"/>
        <d v="2025-09-23T00:00:00"/>
        <d v="2023-09-21T00:00:00"/>
        <d v="2027-03-22T00:00:00"/>
        <d v="2027-02-05T00:00:00"/>
        <d v="2024-11-10T00:00:00"/>
        <m/>
        <d v="2026-10-01T00:00:00" u="1"/>
        <d v="2026-07-09T00:00:00" u="1"/>
        <d v="2026-04-30T00:00:00" u="1"/>
        <d v="2025-12-29T00:00:00" u="1"/>
        <d v="2025-12-27T00:00:00" u="1"/>
        <d v="2026-02-27T00:00:00" u="1"/>
        <d v="2025-11-29T00:00:00" u="1"/>
        <d v="2025-10-15T00:00:00" u="1"/>
        <d v="2025-09-01T00:00:00" u="1"/>
        <d v="2025-12-01T00:00:00" u="1"/>
        <d v="2025-10-01T00:00:00" u="1"/>
        <d v="2025-07-23T00:00:00" u="1"/>
        <d v="2025-07-24T00:00:00" u="1"/>
        <d v="2024-12-31T00:00:00" u="1"/>
        <d v="2025-02-01T00:00:00" u="1"/>
        <d v="2025-07-15T00:00:00" u="1"/>
        <d v="2024-07-05T00:00:00" u="1"/>
        <d v="2025-07-04T00:00:00" u="1"/>
        <d v="2025-07-03T00:00:00" u="1"/>
        <d v="2027-08-09T00:00:00" u="1"/>
        <d v="2025-07-21T00:00:00" u="1"/>
        <d v="2025-06-22T00:00:00" u="1"/>
        <d v="2024-09-02T00:00:00" u="1"/>
        <d v="2025-03-15T00:00:00" u="1"/>
        <d v="2025-04-01T00:00:00" u="1"/>
        <d v="2025-06-16T00:00:00" u="1"/>
        <d v="2026-08-01T00:00:00" u="1"/>
        <d v="2026-05-01T00:00:00" u="1"/>
        <d v="2025-01-01T00:00:00" u="1"/>
        <d v="2025-06-28T00:00:00" u="1"/>
        <d v="2025-08-10T00:00:00" u="1"/>
        <d v="2025-06-30T00:00:00" u="1"/>
        <d v="2025-05-30T00:00:00" u="1"/>
        <d v="2025-06-29T00:00:00" u="1"/>
      </sharedItems>
    </cacheField>
    <cacheField name="OBSERVAÇÃO" numFmtId="14">
      <sharedItems containsNonDate="0" containsBlank="1" count="3">
        <m/>
        <b v="0" u="1"/>
        <e v="#NAME?" u="1"/>
      </sharedItems>
    </cacheField>
    <cacheField name="SITUAÇÃO" numFmtId="0">
      <sharedItems containsBlank="1" count="498">
        <s v="VENCIDO"/>
        <s v="37 Dia(s) Restante"/>
        <s v="261 Dia(s) Restante"/>
        <s v="189 Dia(s) Restante"/>
        <s v="2 Dia(s) Restante"/>
        <s v="150 Dia(s) Restante"/>
        <s v="105 Dia(s) Restante"/>
        <s v=""/>
        <s v="39 Dia(s) Restante" u="1"/>
        <s v="263 Dia(s) Restante" u="1"/>
        <s v="191 Dia(s) Restante" u="1"/>
        <s v="152 Dia(s) Restante" u="1"/>
        <s v="107 Dia(s) Restante" u="1"/>
        <s v="40 Dia(s) Restante" u="1"/>
        <s v="264 Dia(s) Restante" u="1"/>
        <s v="192 Dia(s) Restante" u="1"/>
        <s v="153 Dia(s) Restante" u="1"/>
        <s v="108 Dia(s) Restante" u="1"/>
        <s v="44 Dia(s) Restante" u="1"/>
        <s v="268 Dia(s) Restante" u="1"/>
        <s v="196 Dia(s) Restante" u="1"/>
        <s v="157 Dia(s) Restante" u="1"/>
        <s v="112 Dia(s) Restante" u="1"/>
        <s v="46 Dia(s) Restante" u="1"/>
        <s v="270 Dia(s) Restante" u="1"/>
        <s v="198 Dia(s) Restante" u="1"/>
        <s v="1 Dia(s) Restante" u="1"/>
        <s v="159 Dia(s) Restante" u="1"/>
        <s v="114 Dia(s) Restante" u="1"/>
        <s v="47 Dia(s) Restante" u="1"/>
        <s v="271 Dia(s) Restante" u="1"/>
        <s v="199 Dia(s) Restante" u="1"/>
        <s v="160 Dia(s) Restante" u="1"/>
        <s v="115 Dia(s) Restante" u="1"/>
        <s v="52 Dia(s) Restante" u="1"/>
        <s v="276 Dia(s) Restante" u="1"/>
        <s v="204 Dia(s) Restante" u="1"/>
        <s v="7 Dia(s) Restante" u="1"/>
        <s v="165 Dia(s) Restante" u="1"/>
        <s v="120 Dia(s) Restante" u="1"/>
        <s v="53 Dia(s) Restante" u="1"/>
        <s v="277 Dia(s) Restante" u="1"/>
        <s v="205 Dia(s) Restante" u="1"/>
        <s v="8 Dia(s) Restante" u="1"/>
        <s v="166 Dia(s) Restante" u="1"/>
        <s v="121 Dia(s) Restante" u="1"/>
        <s v="54 Dia(s) Restante" u="1"/>
        <s v="278 Dia(s) Restante" u="1"/>
        <s v="206 Dia(s) Restante" u="1"/>
        <s v="9 Dia(s) Restante" u="1"/>
        <s v="167 Dia(s) Restante" u="1"/>
        <s v="122 Dia(s) Restante" u="1"/>
        <s v="55 Dia(s) Restante" u="1"/>
        <s v="279 Dia(s) Restante" u="1"/>
        <s v="207 Dia(s) Restante" u="1"/>
        <s v="10 Dia(s) Restante" u="1"/>
        <s v="168 Dia(s) Restante" u="1"/>
        <s v="123 Dia(s) Restante" u="1"/>
        <s v="58 Dia(s) Restante" u="1"/>
        <s v="282 Dia(s) Restante" u="1"/>
        <s v="210 Dia(s) Restante" u="1"/>
        <s v="13 Dia(s) Restante" u="1"/>
        <s v="171 Dia(s) Restante" u="1"/>
        <s v="126 Dia(s) Restante" u="1"/>
        <s v="59 Dia(s) Restante" u="1"/>
        <s v="283 Dia(s) Restante" u="1"/>
        <s v="211 Dia(s) Restante" u="1"/>
        <s v="ULTIMO DIA" u="1"/>
        <s v="14 Dia(s) Restante" u="1"/>
        <s v="172 Dia(s) Restante" u="1"/>
        <s v="127 Dia(s) Restante" u="1"/>
        <s v="60 Dia(s) Restante" u="1"/>
        <s v="284 Dia(s) Restante" u="1"/>
        <s v="212 Dia(s) Restante" u="1"/>
        <s v="15 Dia(s) Restante" u="1"/>
        <s v="173 Dia(s) Restante" u="1"/>
        <s v="128 Dia(s) Restante" u="1"/>
        <s v="61 Dia(s) Restante" u="1"/>
        <s v="285 Dia(s) Restante" u="1"/>
        <s v="213 Dia(s) Restante" u="1"/>
        <s v="16 Dia(s) Restante" u="1"/>
        <s v="174 Dia(s) Restante" u="1"/>
        <s v="129 Dia(s) Restante" u="1"/>
        <s v="62 Dia(s) Restante" u="1"/>
        <s v="286 Dia(s) Restante" u="1"/>
        <s v="214 Dia(s) Restante" u="1"/>
        <s v="3 Dia(s) Restante" u="1"/>
        <s v="17 Dia(s) Restante" u="1"/>
        <s v="175 Dia(s) Restante" u="1"/>
        <s v="130 Dia(s) Restante" u="1"/>
        <s v="65 Dia(s) Restante" u="1"/>
        <s v="289 Dia(s) Restante" u="1"/>
        <s v="217 Dia(s) Restante" u="1"/>
        <s v="6 Dia(s) Restante" u="1"/>
        <s v="20 Dia(s) Restante" u="1"/>
        <s v="178 Dia(s) Restante" u="1"/>
        <s v="133 Dia(s) Restante" u="1"/>
        <s v="66 Dia(s) Restante" u="1"/>
        <s v="290 Dia(s) Restante" u="1"/>
        <s v="218 Dia(s) Restante" u="1"/>
        <s v="21 Dia(s) Restante" u="1"/>
        <s v="179 Dia(s) Restante" u="1"/>
        <s v="134 Dia(s) Restante" u="1"/>
        <s v="67 Dia(s) Restante" u="1"/>
        <s v="291 Dia(s) Restante" u="1"/>
        <s v="219 Dia(s) Restante" u="1"/>
        <s v="22 Dia(s) Restante" u="1"/>
        <s v="180 Dia(s) Restante" u="1"/>
        <s v="135 Dia(s) Restante" u="1"/>
        <s v="68 Dia(s) Restante" u="1"/>
        <s v="292 Dia(s) Restante" u="1"/>
        <s v="220 Dia(s) Restante" u="1"/>
        <s v="23 Dia(s) Restante" u="1"/>
        <s v="181 Dia(s) Restante" u="1"/>
        <s v="136 Dia(s) Restante" u="1"/>
        <s v="72 Dia(s) Restante" u="1"/>
        <s v="296 Dia(s) Restante" u="1"/>
        <s v="224 Dia(s) Restante" u="1"/>
        <s v="27 Dia(s) Restante" u="1"/>
        <s v="185 Dia(s) Restante" u="1"/>
        <s v="140 Dia(s) Restante" u="1"/>
        <s v="73 Dia(s) Restante" u="1"/>
        <s v="297 Dia(s) Restante" u="1"/>
        <s v="225 Dia(s) Restante" u="1"/>
        <s v="28 Dia(s) Restante" u="1"/>
        <s v="186 Dia(s) Restante" u="1"/>
        <s v="141 Dia(s) Restante" u="1"/>
        <s v="76 Dia(s) Restante" u="1"/>
        <s v="300 Dia(s) Restante" u="1"/>
        <s v="228 Dia(s) Restante" u="1"/>
        <s v="31 Dia(s) Restante" u="1"/>
        <s v="144 Dia(s) Restante" u="1"/>
        <s v="79 Dia(s) Restante" u="1"/>
        <s v="303 Dia(s) Restante" u="1"/>
        <s v="231 Dia(s) Restante" u="1"/>
        <s v="4 Dia(s) Restante" u="1"/>
        <s v="34 Dia(s) Restante" u="1"/>
        <s v="147 Dia(s) Restante" u="1"/>
        <s v="81 Dia(s) Restante" u="1"/>
        <s v="305 Dia(s) Restante" u="1"/>
        <s v="233 Dia(s) Restante" u="1"/>
        <s v="36 Dia(s) Restante" u="1"/>
        <s v="194 Dia(s) Restante" u="1"/>
        <s v="149 Dia(s) Restante" u="1"/>
        <s v="82 Dia(s) Restante" u="1"/>
        <s v="306 Dia(s) Restante" u="1"/>
        <s v="234 Dia(s) Restante" u="1"/>
        <s v="195 Dia(s) Restante" u="1"/>
        <s v="86 Dia(s) Restante" u="1"/>
        <s v="310 Dia(s) Restante" u="1"/>
        <s v="238 Dia(s) Restante" u="1"/>
        <s v="11 Dia(s) Restante" u="1"/>
        <s v="41 Dia(s) Restante" u="1"/>
        <s v="154 Dia(s) Restante" u="1"/>
        <s v="87 Dia(s) Restante" u="1"/>
        <s v="311 Dia(s) Restante" u="1"/>
        <s v="239 Dia(s) Restante" u="1"/>
        <s v="12 Dia(s) Restante" u="1"/>
        <s v="42 Dia(s) Restante" u="1"/>
        <s v="200 Dia(s) Restante" u="1"/>
        <s v="155 Dia(s) Restante" u="1"/>
        <s v="89 Dia(s) Restante" u="1"/>
        <s v="313 Dia(s) Restante" u="1"/>
        <s v="241 Dia(s) Restante" u="1"/>
        <s v="30 Dia(s) Restante" u="1"/>
        <s v="202 Dia(s) Restante" u="1"/>
        <s v="90 Dia(s) Restante" u="1"/>
        <s v="314 Dia(s) Restante" u="1"/>
        <s v="242 Dia(s) Restante" u="1"/>
        <s v="45 Dia(s) Restante" u="1"/>
        <s v="203 Dia(s) Restante" u="1"/>
        <s v="158 Dia(s) Restante" u="1"/>
        <s v="93 Dia(s) Restante" u="1"/>
        <s v="317 Dia(s) Restante" u="1"/>
        <s v="245 Dia(s) Restante" u="1"/>
        <s v="18 Dia(s) Restante" u="1"/>
        <s v="48 Dia(s) Restante" u="1"/>
        <s v="161 Dia(s) Restante" u="1"/>
        <s v="96 Dia(s) Restante" u="1"/>
        <s v="320 Dia(s) Restante" u="1"/>
        <s v="248 Dia(s) Restante" u="1"/>
        <s v="51 Dia(s) Restante" u="1"/>
        <s v="209 Dia(s) Restante" u="1"/>
        <s v="164 Dia(s) Restante" u="1"/>
        <s v="97 Dia(s) Restante" u="1"/>
        <s v="321 Dia(s) Restante" u="1"/>
        <s v="249 Dia(s) Restante" u="1"/>
        <s v="38 Dia(s) Restante" u="1"/>
        <s v="100 Dia(s) Restante" u="1"/>
        <s v="324 Dia(s) Restante" u="1"/>
        <s v="252 Dia(s) Restante" u="1"/>
        <s v="25 Dia(s) Restante" u="1"/>
        <s v="101 Dia(s) Restante" u="1"/>
        <s v="325 Dia(s) Restante" u="1"/>
        <s v="253 Dia(s) Restante" u="1"/>
        <s v="26 Dia(s) Restante" u="1"/>
        <s v="56 Dia(s) Restante" u="1"/>
        <s v="169 Dia(s) Restante" u="1"/>
        <s v="5 Dia(s) Restante" u="1"/>
        <s v="102 Dia(s) Restante" u="1"/>
        <s v="326 Dia(s) Restante" u="1"/>
        <s v="254 Dia(s) Restante" u="1"/>
        <s v="43 Dia(s) Restante" u="1"/>
        <s v="57 Dia(s) Restante" u="1"/>
        <s v="215 Dia(s) Restante" u="1"/>
        <s v="170 Dia(s) Restante" u="1"/>
        <s v="103 Dia(s) Restante" u="1"/>
        <s v="327 Dia(s) Restante" u="1"/>
        <s v="255 Dia(s) Restante" u="1"/>
        <s v="216 Dia(s) Restante" u="1"/>
        <s v="104 Dia(s) Restante" u="1"/>
        <s v="328 Dia(s) Restante" u="1"/>
        <s v="256 Dia(s) Restante" u="1"/>
        <s v="29 Dia(s) Restante" u="1"/>
        <s v="331 Dia(s) Restante" u="1"/>
        <s v="259 Dia(s) Restante" u="1"/>
        <s v="32 Dia(s) Restante" u="1"/>
        <s v="332 Dia(s) Restante" u="1"/>
        <s v="260 Dia(s) Restante" u="1"/>
        <s v="49 Dia(s) Restante" u="1"/>
        <s v="33 Dia(s) Restante" u="1"/>
        <s v="63 Dia(s) Restante" u="1"/>
        <s v="221 Dia(s) Restante" u="1"/>
        <s v="176 Dia(s) Restante" u="1"/>
        <s v="109 Dia(s) Restante" u="1"/>
        <s v="333 Dia(s) Restante" u="1"/>
        <s v="50 Dia(s) Restante" u="1"/>
        <s v="64 Dia(s) Restante" u="1"/>
        <s v="222 Dia(s) Restante" u="1"/>
        <s v="177 Dia(s) Restante" u="1"/>
        <s v="110 Dia(s) Restante" u="1"/>
        <s v="334 Dia(s) Restante" u="1"/>
        <s v="262 Dia(s) Restante" u="1"/>
        <s v="35 Dia(s) Restante" u="1"/>
        <s v="223 Dia(s) Restante" u="1"/>
        <s v="124 Dia(s) Restante" u="1"/>
        <s v="348 Dia(s) Restante" u="1"/>
        <s v="237 Dia(s) Restante" u="1"/>
        <s v="142 Dia(s) Restante" u="1"/>
        <s v="366 Dia(s) Restante" u="1"/>
        <s v="294 Dia(s) Restante" u="1"/>
        <s v="83 Dia(s) Restante" u="1"/>
        <s v="143 Dia(s) Restante" u="1"/>
        <s v="367 Dia(s) Restante" u="1"/>
        <s v="295 Dia(s) Restante" u="1"/>
        <s v="84 Dia(s) Restante" u="1"/>
        <s v="98 Dia(s) Restante" u="1"/>
        <s v="368 Dia(s) Restante" u="1"/>
        <s v="85 Dia(s) Restante" u="1"/>
        <s v="69 Dia(s) Restante" u="1"/>
        <s v="99 Dia(s) Restante" u="1"/>
        <s v="257 Dia(s) Restante" u="1"/>
        <s v="145 Dia(s) Restante" u="1"/>
        <s v="369 Dia(s) Restante" u="1"/>
        <s v="70 Dia(s) Restante" u="1"/>
        <s v="258 Dia(s) Restante" u="1"/>
        <s v="146 Dia(s) Restante" u="1"/>
        <s v="370 Dia(s) Restante" u="1"/>
        <s v="298 Dia(s) Restante" u="1"/>
        <s v="71 Dia(s) Restante" u="1"/>
        <s v="373 Dia(s) Restante" u="1"/>
        <s v="301 Dia(s) Restante" u="1"/>
        <s v="74 Dia(s) Restante" u="1"/>
        <s v="91 Dia(s) Restante" u="1"/>
        <s v="75 Dia(s) Restante" u="1"/>
        <s v="151 Dia(s) Restante" u="1"/>
        <s v="92 Dia(s) Restante" u="1"/>
        <s v="106 Dia(s) Restante" u="1"/>
        <s v="77 Dia(s) Restante" u="1"/>
        <s v="265 Dia(s) Restante" u="1"/>
        <s v="94 Dia(s) Restante" u="1"/>
        <s v="78 Dia(s) Restante" u="1"/>
        <s v="266 Dia(s) Restante" u="1"/>
        <s v="113 Dia(s) Restante" u="1"/>
        <s v="226 Dia(s) Restante" u="1"/>
        <s v="272 Dia(s) Restante" u="1"/>
        <s v="227 Dia(s) Restante" u="1"/>
        <s v="273 Dia(s) Restante" u="1"/>
        <s v="163 Dia(s) Restante" u="1"/>
        <s v="88 Dia(s) Restante" u="1"/>
        <s v="118 Dia(s) Restante" u="1"/>
        <s v="240 Dia(s) Restante" u="1"/>
        <s v="287 Dia(s) Restante" u="1"/>
        <s v="80 Dia(s) Restante" u="1"/>
        <s v="132 Dia(s) Restante" u="1"/>
        <s v="247 Dia(s) Restante" u="1"/>
        <s v="293 Dia(s) Restante" u="1"/>
        <s v="184 Dia(s) Restante" u="1"/>
        <s v="125 Dia(s) Restante" u="1"/>
        <s v="139 Dia(s) Restante" u="1"/>
        <s v="111 Dia(s) Restante" u="1"/>
        <s v="299 Dia(s) Restante" u="1"/>
        <s v="187 Dia(s) Restante" u="1"/>
        <s v="188 Dia(s) Restante" u="1"/>
        <s v="116 Dia(s) Restante" u="1"/>
        <s v="304 Dia(s) Restante" u="1"/>
        <s v="95 Dia(s) Restante" u="1"/>
        <s v="117 Dia(s) Restante" u="1"/>
        <s v="119 Dia(s) Restante" u="1"/>
        <s v="307 Dia(s) Restante" u="1"/>
        <s v="308 Dia(s) Restante" u="1"/>
        <s v="19 Dia(s) Restante" u="1"/>
        <s v="312 Dia(s) Restante" u="1"/>
        <s v="267 Dia(s) Restante" u="1"/>
        <s v="201 Dia(s) Restante" u="1"/>
        <s v="156 Dia(s) Restante" u="1"/>
        <s v="269 Dia(s) Restante" u="1"/>
        <s v="315 Dia(s) Restante" u="1"/>
        <s v="131 Dia(s) Restante" u="1"/>
        <s v="319 Dia(s) Restante" u="1"/>
        <s v="274 Dia(s) Restante" u="1"/>
        <s v="148 Dia(s) Restante" u="1"/>
        <s v="162 Dia(s) Restante" u="1"/>
        <s v="275 Dia(s) Restante" u="1"/>
        <s v="208 Dia(s) Restante" u="1"/>
        <s v="322 Dia(s) Restante" u="1"/>
        <s v="138 Dia(s) Restante" u="1"/>
        <s v="281 Dia(s) Restante" u="1"/>
        <s v="329 Dia(s) Restante" u="1"/>
        <s v="336 Dia(s) Restante" u="1"/>
        <s v="339 Dia(s) Restante" u="1"/>
        <s v="182 Dia(s) Restante" u="1"/>
        <s v="340 Dia(s) Restante" u="1"/>
        <s v="232 Dia(s) Restante" u="1"/>
        <s v="345 Dia(s) Restante" u="1"/>
        <s v="235 Dia(s) Restante" u="1"/>
        <s v="190 Dia(s) Restante" u="1"/>
        <s v="236 Dia(s) Restante" u="1"/>
        <s v="349 Dia(s) Restante" u="1"/>
        <s v="24 Dia(s) Restante" u="1"/>
        <s v="350 Dia(s) Restante" u="1"/>
        <s v="354 Dia(s) Restante" u="1"/>
        <s v="309 Dia(s) Restante" u="1"/>
        <s v="183 Dia(s) Restante" u="1"/>
        <s v="197 Dia(s) Restante" u="1"/>
        <s v="355 Dia(s) Restante" u="1"/>
        <s v="243 Dia(s) Restante" u="1"/>
        <s v="356 Dia(s) Restante" u="1"/>
        <s v="244 Dia(s) Restante" u="1"/>
        <s v="357 Dia(s) Restante" u="1"/>
        <s v="360 Dia(s) Restante" u="1"/>
        <s v="361 Dia(s) Restante" u="1"/>
        <s v="316 Dia(s) Restante" u="1"/>
        <s v="250 Dia(s) Restante" u="1"/>
        <s v="363 Dia(s) Restante" u="1"/>
        <s v="318 Dia(s) Restante" u="1"/>
        <s v="323 Dia(s) Restante" u="1"/>
        <s v="371 Dia(s) Restante" u="1"/>
        <s v="374 Dia(s) Restante" u="1"/>
        <s v="375 Dia(s) Restante" u="1"/>
        <s v="330 Dia(s) Restante" u="1"/>
        <s v="376 Dia(s) Restante" u="1"/>
        <s v="383 Dia(s) Restante" u="1"/>
        <s v="338 Dia(s) Restante" u="1"/>
        <s v="385 Dia(s) Restante" u="1"/>
        <s v="230 Dia(s) Restante" u="1"/>
        <s v="388 Dia(s) Restante" u="1"/>
        <s v="343 Dia(s) Restante" u="1"/>
        <s v="390 Dia(s) Restante" u="1"/>
        <s v="397 Dia(s) Restante" u="1"/>
        <s v="352 Dia(s) Restante" u="1"/>
        <s v="402 Dia(s) Restante" u="1"/>
        <s v="403 Dia(s) Restante" u="1"/>
        <s v="358 Dia(s) Restante" u="1"/>
        <s v="405 Dia(s) Restante" u="1"/>
        <s v="251 Dia(s) Restante" u="1"/>
        <s v="409 Dia(s) Restante" u="1"/>
        <s v="364 Dia(s) Restante" u="1"/>
        <s v="229 Dia(s) Restante" u="1"/>
        <s v="417 Dia(s) Restante" u="1"/>
        <s v="372 Dia(s) Restante" u="1"/>
        <s v="419 Dia(s) Restante" u="1"/>
        <s v="420 Dia(s) Restante" u="1"/>
        <s v="423 Dia(s) Restante" u="1"/>
        <s v="378 Dia(s) Restante" u="1"/>
        <s v="424 Dia(s) Restante" u="1"/>
        <s v="379 Dia(s) Restante" u="1"/>
        <s v="426 Dia(s) Restante" u="1"/>
        <s v="381 Dia(s) Restante" u="1"/>
        <s v="430 Dia(s) Restante" u="1"/>
        <s v="432 Dia(s) Restante" u="1"/>
        <s v="387 Dia(s) Restante" u="1"/>
        <s v="433 Dia(s) Restante" u="1"/>
        <s v="436 Dia(s) Restante" u="1"/>
        <s v="391 Dia(s) Restante" u="1"/>
        <s v="437 Dia(s) Restante" u="1"/>
        <s v="392 Dia(s) Restante" u="1"/>
        <s v="440 Dia(s) Restante" u="1"/>
        <s v="395 Dia(s) Restante" u="1"/>
        <s v="441 Dia(s) Restante" u="1"/>
        <s v="396 Dia(s) Restante" u="1"/>
        <s v="447 Dia(s) Restante" u="1"/>
        <s v="448 Dia(s) Restante" u="1"/>
        <s v="453 Dia(s) Restante" u="1"/>
        <s v="408 Dia(s) Restante" u="1"/>
        <s v="455 Dia(s) Restante" u="1"/>
        <s v="410 Dia(s) Restante" u="1"/>
        <s v="288 Dia(s) Restante" u="1"/>
        <s v="302 Dia(s) Restante" u="1"/>
        <s v="460 Dia(s) Restante" u="1"/>
        <s v="415 Dia(s) Restante" u="1"/>
        <s v="461 Dia(s) Restante" u="1"/>
        <s v="416 Dia(s) Restante" u="1"/>
        <s v="462 Dia(s) Restante" u="1"/>
        <s v="465 Dia(s) Restante" u="1"/>
        <s v="466 Dia(s) Restante" u="1"/>
        <s v="421 Dia(s) Restante" u="1"/>
        <s v="467 Dia(s) Restante" u="1"/>
        <s v="422 Dia(s) Restante" u="1"/>
        <s v="280 Dia(s) Restante" u="1"/>
        <s v="468 Dia(s) Restante" u="1"/>
        <s v="474 Dia(s) Restante" u="1"/>
        <s v="429 Dia(s) Restante" u="1"/>
        <s v="475 Dia(s) Restante" u="1"/>
        <s v="476 Dia(s) Restante" u="1"/>
        <s v="431 Dia(s) Restante" u="1"/>
        <s v="479 Dia(s) Restante" u="1"/>
        <s v="434 Dia(s) Restante" u="1"/>
        <s v="480 Dia(s) Restante" u="1"/>
        <s v="435 Dia(s) Restante" u="1"/>
        <s v="482 Dia(s) Restante" u="1"/>
        <s v="483 Dia(s) Restante" u="1"/>
        <s v="438 Dia(s) Restante" u="1"/>
        <s v="486 Dia(s) Restante" u="1"/>
        <s v="489 Dia(s) Restante" u="1"/>
        <s v="444 Dia(s) Restante" u="1"/>
        <s v="490 Dia(s) Restante" u="1"/>
        <s v="445 Dia(s) Restante" u="1"/>
        <s v="335 Dia(s) Restante" u="1"/>
        <s v="493 Dia(s) Restante" u="1"/>
        <s v="494 Dia(s) Restante" u="1"/>
        <s v="449 Dia(s) Restante" u="1"/>
        <s v="337 Dia(s) Restante" u="1"/>
        <s v="495 Dia(s) Restante" u="1"/>
        <s v="450 Dia(s) Restante" u="1"/>
        <s v="496 Dia(s) Restante" u="1"/>
        <s v="451 Dia(s) Restante" u="1"/>
        <s v="497 Dia(s) Restante" u="1"/>
        <s v="452 Dia(s) Restante" u="1"/>
        <s v="342 Dia(s) Restante" u="1"/>
        <s v="500 Dia(s) Restante" u="1"/>
        <s v="501 Dia(s) Restante" u="1"/>
        <s v="456 Dia(s) Restante" u="1"/>
        <s v="503 Dia(s) Restante" u="1"/>
        <s v="458 Dia(s) Restante" u="1"/>
        <s v="346 Dia(s) Restante" u="1"/>
        <s v="504 Dia(s) Restante" u="1"/>
        <s v="459 Dia(s) Restante" u="1"/>
        <s v="508 Dia(s) Restante" u="1"/>
        <s v="463 Dia(s) Restante" u="1"/>
        <s v="515 Dia(s) Restante" u="1"/>
        <s v="470 Dia(s) Restante" u="1"/>
        <s v="344 Dia(s) Restante" u="1"/>
        <s v="516 Dia(s) Restante" u="1"/>
        <s v="471 Dia(s) Restante" u="1"/>
        <s v="359 Dia(s) Restante" u="1"/>
        <s v="517 Dia(s) Restante" u="1"/>
        <s v="472 Dia(s) Restante" u="1"/>
        <s v="518 Dia(s) Restante" u="1"/>
        <s v="473 Dia(s) Restante" u="1"/>
        <s v="521 Dia(s) Restante" u="1"/>
        <s v="351 Dia(s) Restante" u="1"/>
        <s v="365 Dia(s) Restante" u="1"/>
        <s v="523 Dia(s) Restante" u="1"/>
        <s v="478 Dia(s) Restante" u="1"/>
        <s v="341 Dia(s) Restante" u="1"/>
        <s v="529 Dia(s) Restante" u="1"/>
        <s v="484 Dia(s) Restante" u="1"/>
        <s v="530 Dia(s) Restante" u="1"/>
        <s v="485 Dia(s) Restante" u="1"/>
        <s v="532 Dia(s) Restante" u="1"/>
        <s v="487 Dia(s) Restante" u="1"/>
        <s v="539 Dia(s) Restante" u="1"/>
        <s v="542 Dia(s) Restante" u="1"/>
        <s v="543 Dia(s) Restante" u="1"/>
        <s v="498 Dia(s) Restante" u="1"/>
        <s v="377 Dia(s) Restante" u="1"/>
        <s v="549 Dia(s) Restante" u="1"/>
        <s v="553 Dia(s) Restante" u="1"/>
        <s v="522 Dia(s) Restante" u="1"/>
        <s v="246 Dia(s) Restante" u="1"/>
        <s v="400 Dia(s) Restante" u="1"/>
        <s v="527 Dia(s) Restante" u="1"/>
        <s v="137 Dia(s) Restante" u="1"/>
        <s v="560 Dia(s) Restante" u="1"/>
        <s v="562 Dia(s) Restante" u="1"/>
        <s v="571 Dia(s) Restante" u="1"/>
        <s v="575 Dia(s) Restante" u="1"/>
        <s v="577 Dia(s) Restante" u="1"/>
        <s v="578 Dia(s) Restante" u="1"/>
        <s v="454 Dia(s) Restante" u="1"/>
        <s v="581 Dia(s) Restante" u="1"/>
        <s v="582 Dia(s) Restante" u="1"/>
        <s v="583 Dia(s) Restante" u="1"/>
        <s v="768 Dia(s) Restante" u="1"/>
        <s v="457 Dia(s) Restante" u="1"/>
        <s v="DIGITE DATA DE VENCIMENTO" u="1"/>
        <m u="1"/>
      </sharedItems>
    </cacheField>
  </cacheFields>
  <extLst>
    <ext xmlns:x14="http://schemas.microsoft.com/office/spreadsheetml/2009/9/main" uri="{725AE2AE-9491-48be-B2B4-4EB974FC3084}">
      <x14:pivotCacheDefinition pivotCacheId="13788551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">
  <r>
    <x v="0"/>
    <x v="0"/>
    <d v="2022-11-15T00:00:00"/>
    <d v="2022-12-14T00:00:00"/>
    <s v="NÃO"/>
    <x v="0"/>
    <d v="2026-05-05T00:00:00"/>
    <x v="0"/>
    <x v="0"/>
    <x v="0"/>
    <x v="0"/>
  </r>
  <r>
    <x v="1"/>
    <x v="1"/>
    <d v="2023-02-02T00:00:00"/>
    <d v="2023-02-02T00:00:00"/>
    <s v="SIM"/>
    <x v="0"/>
    <d v="2026-01-26T00:00:00"/>
    <x v="1"/>
    <x v="1"/>
    <x v="0"/>
    <x v="0"/>
  </r>
  <r>
    <x v="2"/>
    <x v="2"/>
    <d v="2023-02-01T00:00:00"/>
    <d v="2023-02-01T00:00:00"/>
    <s v="SIM"/>
    <x v="0"/>
    <d v="2026-01-26T00:00:00"/>
    <x v="1"/>
    <x v="1"/>
    <x v="0"/>
    <x v="0"/>
  </r>
  <r>
    <x v="3"/>
    <x v="3"/>
    <d v="2016-06-13T00:00:00"/>
    <d v="2016-06-13T00:00:00"/>
    <s v="SIM"/>
    <x v="0"/>
    <d v="2026-04-22T00:00:00"/>
    <x v="2"/>
    <x v="2"/>
    <x v="0"/>
    <x v="0"/>
  </r>
  <r>
    <x v="4"/>
    <x v="3"/>
    <d v="2023-10-26T00:00:00"/>
    <d v="2024-01-23T00:00:00"/>
    <s v="SIM"/>
    <x v="1"/>
    <d v="2024-10-17T00:00:00"/>
    <x v="3"/>
    <x v="3"/>
    <x v="1"/>
    <x v="1"/>
  </r>
  <r>
    <x v="5"/>
    <x v="1"/>
    <d v="2023-12-12T00:00:00"/>
    <d v="2026-03-25T00:00:00"/>
    <s v="SIM"/>
    <x v="0"/>
    <d v="2026-02-11T00:00:00"/>
    <x v="4"/>
    <x v="4"/>
    <x v="0"/>
    <x v="0"/>
  </r>
  <r>
    <x v="6"/>
    <x v="3"/>
    <d v="2024-07-25T00:00:00"/>
    <d v="2024-09-07T00:00:00"/>
    <s v="SIM"/>
    <x v="1"/>
    <d v="2026-06-10T00:00:00"/>
    <x v="5"/>
    <x v="5"/>
    <x v="0"/>
    <x v="1"/>
  </r>
  <r>
    <x v="7"/>
    <x v="4"/>
    <d v="2024-09-24T00:00:00"/>
    <d v="2025-03-20T00:00:00"/>
    <s v="SIM"/>
    <x v="0"/>
    <d v="2026-07-31T00:00:00"/>
    <x v="6"/>
    <x v="6"/>
    <x v="0"/>
    <x v="0"/>
  </r>
  <r>
    <x v="8"/>
    <x v="5"/>
    <d v="2024-10-07T00:00:00"/>
    <d v="2025-03-20T00:00:00"/>
    <s v="SIM"/>
    <x v="0"/>
    <d v="2026-09-28T00:00:00"/>
    <x v="7"/>
    <x v="7"/>
    <x v="0"/>
    <x v="0"/>
  </r>
  <r>
    <x v="9"/>
    <x v="6"/>
    <d v="2024-10-17T00:00:00"/>
    <d v="2025-03-20T00:00:00"/>
    <s v="SIM"/>
    <x v="0"/>
    <d v="2026-10-02T00:00:00"/>
    <x v="8"/>
    <x v="8"/>
    <x v="0"/>
    <x v="0"/>
  </r>
  <r>
    <x v="10"/>
    <x v="6"/>
    <d v="2024-10-18T00:00:00"/>
    <d v="2025-03-20T00:00:00"/>
    <s v="SIM"/>
    <x v="1"/>
    <d v="2025-10-07T00:00:00"/>
    <x v="9"/>
    <x v="3"/>
    <x v="1"/>
    <x v="1"/>
  </r>
  <r>
    <x v="11"/>
    <x v="6"/>
    <d v="2024-10-18T00:00:00"/>
    <d v="2025-03-20T00:00:00"/>
    <s v="SIM"/>
    <x v="0"/>
    <d v="2026-04-22T00:00:00"/>
    <x v="2"/>
    <x v="2"/>
    <x v="0"/>
    <x v="0"/>
  </r>
  <r>
    <x v="12"/>
    <x v="7"/>
    <d v="2024-10-22T00:00:00"/>
    <d v="2025-10-01T00:00:00"/>
    <s v="SIM"/>
    <x v="1"/>
    <d v="2024-10-21T00:00:00"/>
    <x v="10"/>
    <x v="3"/>
    <x v="1"/>
    <x v="1"/>
  </r>
  <r>
    <x v="13"/>
    <x v="7"/>
    <d v="2025-01-15T00:00:00"/>
    <d v="2025-05-14T00:00:00"/>
    <s v="SIM"/>
    <x v="1"/>
    <d v="2026-01-12T00:00:00"/>
    <x v="11"/>
    <x v="9"/>
    <x v="0"/>
    <x v="1"/>
  </r>
  <r>
    <x v="14"/>
    <x v="3"/>
    <d v="2025-03-10T00:00:00"/>
    <d v="2025-04-24T00:00:00"/>
    <s v="SIM"/>
    <x v="0"/>
    <d v="2026-02-26T00:00:00"/>
    <x v="12"/>
    <x v="10"/>
    <x v="0"/>
    <x v="0"/>
  </r>
  <r>
    <x v="15"/>
    <x v="7"/>
    <d v="2025-05-12T00:00:00"/>
    <d v="2025-07-10T00:00:00"/>
    <s v="SIM"/>
    <x v="1"/>
    <d v="2025-05-07T00:00:00"/>
    <x v="13"/>
    <x v="3"/>
    <x v="1"/>
    <x v="1"/>
  </r>
  <r>
    <x v="16"/>
    <x v="3"/>
    <d v="2025-09-01T00:00:00"/>
    <d v="2025-12-14T00:00:00"/>
    <s v="SIM"/>
    <x v="0"/>
    <d v="2026-08-13T00:00:00"/>
    <x v="14"/>
    <x v="11"/>
    <x v="0"/>
    <x v="0"/>
  </r>
  <r>
    <x v="17"/>
    <x v="8"/>
    <d v="2025-09-29T00:00:00"/>
    <d v="2026-01-26T00:00:00"/>
    <s v="NÃO"/>
    <x v="1"/>
    <d v="2025-09-26T00:00:00"/>
    <x v="15"/>
    <x v="3"/>
    <x v="1"/>
    <x v="1"/>
  </r>
  <r>
    <x v="18"/>
    <x v="2"/>
    <d v="2025-10-09T00:00:00"/>
    <d v="2026-02-05T00:00:00"/>
    <s v="SIM"/>
    <x v="1"/>
    <d v="2025-10-08T00:00:00"/>
    <x v="16"/>
    <x v="3"/>
    <x v="1"/>
    <x v="1"/>
  </r>
  <r>
    <x v="19"/>
    <x v="7"/>
    <d v="2025-10-14T00:00:00"/>
    <d v="2025-12-12T00:00:00"/>
    <s v="NÃO"/>
    <x v="1"/>
    <d v="2025-10-13T00:00:00"/>
    <x v="17"/>
    <x v="3"/>
    <x v="1"/>
    <x v="1"/>
  </r>
  <r>
    <x v="20"/>
    <x v="9"/>
    <d v="2025-10-14T00:00:00"/>
    <d v="2025-12-12T00:00:00"/>
    <s v="NÃO"/>
    <x v="1"/>
    <d v="2025-10-13T00:00:00"/>
    <x v="17"/>
    <x v="3"/>
    <x v="1"/>
    <x v="1"/>
  </r>
  <r>
    <x v="21"/>
    <x v="6"/>
    <d v="2025-10-22T00:00:00"/>
    <d v="2025-12-20T00:00:00"/>
    <s v="NÃO"/>
    <x v="1"/>
    <d v="2025-10-21T00:00:00"/>
    <x v="18"/>
    <x v="3"/>
    <x v="1"/>
    <x v="1"/>
  </r>
  <r>
    <x v="22"/>
    <x v="7"/>
    <d v="2025-10-22T00:00:00"/>
    <d v="2026-05-20T00:00:00"/>
    <s v="NÃO"/>
    <x v="1"/>
    <d v="2025-10-21T00:00:00"/>
    <x v="18"/>
    <x v="3"/>
    <x v="1"/>
    <x v="1"/>
  </r>
  <r>
    <x v="23"/>
    <x v="8"/>
    <d v="2025-10-23T00:00:00"/>
    <d v="2025-12-21T00:00:00"/>
    <s v="NÃO"/>
    <x v="0"/>
    <d v="2026-10-02T00:00:00"/>
    <x v="8"/>
    <x v="8"/>
    <x v="0"/>
    <x v="0"/>
  </r>
  <r>
    <x v="24"/>
    <x v="8"/>
    <d v="2025-10-23T00:00:00"/>
    <d v="2026-02-04T00:00:00"/>
    <s v="NÃO"/>
    <x v="1"/>
    <d v="2025-10-22T00:00:00"/>
    <x v="19"/>
    <x v="3"/>
    <x v="1"/>
    <x v="1"/>
  </r>
  <r>
    <x v="25"/>
    <x v="2"/>
    <d v="2025-11-04T00:00:00"/>
    <d v="2026-01-02T00:00:00"/>
    <s v="NÃO"/>
    <x v="1"/>
    <d v="2025-11-03T00:00:00"/>
    <x v="20"/>
    <x v="12"/>
    <x v="0"/>
    <x v="1"/>
  </r>
  <r>
    <x v="26"/>
    <x v="8"/>
    <d v="2025-11-04T00:00:00"/>
    <d v="2026-01-02T00:00:00"/>
    <s v="NÃO"/>
    <x v="0"/>
    <d v="2025-11-03T00:00:00"/>
    <x v="20"/>
    <x v="12"/>
    <x v="0"/>
    <x v="0"/>
  </r>
  <r>
    <x v="27"/>
    <x v="7"/>
    <d v="2025-11-11T00:00:00"/>
    <d v="2026-06-06T00:00:00"/>
    <s v="NÃO"/>
    <x v="1"/>
    <d v="2025-11-10T00:00:00"/>
    <x v="21"/>
    <x v="13"/>
    <x v="0"/>
    <x v="1"/>
  </r>
  <r>
    <x v="28"/>
    <x v="8"/>
    <d v="2025-11-17T00:00:00"/>
    <d v="2026-01-15T00:00:00"/>
    <s v="NÃO"/>
    <x v="1"/>
    <d v="2025-11-14T00:00:00"/>
    <x v="22"/>
    <x v="14"/>
    <x v="0"/>
    <x v="1"/>
  </r>
  <r>
    <x v="29"/>
    <x v="6"/>
    <d v="2025-11-17T00:00:00"/>
    <d v="2026-01-15T00:00:00"/>
    <s v="NÃO"/>
    <x v="1"/>
    <d v="2025-11-14T00:00:00"/>
    <x v="22"/>
    <x v="14"/>
    <x v="0"/>
    <x v="1"/>
  </r>
  <r>
    <x v="30"/>
    <x v="2"/>
    <d v="2025-11-17T00:00:00"/>
    <d v="2026-01-15T00:00:00"/>
    <s v="NÃO"/>
    <x v="1"/>
    <d v="2025-11-14T00:00:00"/>
    <x v="22"/>
    <x v="14"/>
    <x v="0"/>
    <x v="1"/>
  </r>
  <r>
    <x v="31"/>
    <x v="2"/>
    <d v="2025-11-17T00:00:00"/>
    <d v="2026-01-15T00:00:00"/>
    <s v="NÃO"/>
    <x v="1"/>
    <d v="2025-11-14T00:00:00"/>
    <x v="22"/>
    <x v="14"/>
    <x v="0"/>
    <x v="1"/>
  </r>
  <r>
    <x v="32"/>
    <x v="6"/>
    <d v="2026-01-09T00:00:00"/>
    <d v="2026-05-08T00:00:00"/>
    <s v="SIM"/>
    <x v="1"/>
    <d v="2026-01-08T00:00:00"/>
    <x v="23"/>
    <x v="15"/>
    <x v="0"/>
    <x v="1"/>
  </r>
  <r>
    <x v="33"/>
    <x v="7"/>
    <d v="2026-01-09T00:00:00"/>
    <d v="2026-07-29T00:00:00"/>
    <s v="SIM"/>
    <x v="1"/>
    <d v="2026-01-08T00:00:00"/>
    <x v="23"/>
    <x v="15"/>
    <x v="0"/>
    <x v="1"/>
  </r>
  <r>
    <x v="34"/>
    <x v="2"/>
    <d v="2026-01-09T00:00:00"/>
    <d v="2026-05-08T00:00:00"/>
    <s v="SIM"/>
    <x v="1"/>
    <d v="2026-01-08T00:00:00"/>
    <x v="23"/>
    <x v="15"/>
    <x v="0"/>
    <x v="1"/>
  </r>
  <r>
    <x v="35"/>
    <x v="7"/>
    <d v="2026-01-14T00:00:00"/>
    <d v="2026-05-13T00:00:00"/>
    <s v="SIM"/>
    <x v="1"/>
    <d v="2026-01-13T00:00:00"/>
    <x v="24"/>
    <x v="16"/>
    <x v="0"/>
    <x v="1"/>
  </r>
  <r>
    <x v="36"/>
    <x v="2"/>
    <d v="2026-01-14T00:00:00"/>
    <d v="2026-05-13T00:00:00"/>
    <s v="SIM"/>
    <x v="1"/>
    <d v="2026-01-13T00:00:00"/>
    <x v="24"/>
    <x v="16"/>
    <x v="0"/>
    <x v="1"/>
  </r>
  <r>
    <x v="37"/>
    <x v="2"/>
    <d v="2026-01-14T00:00:00"/>
    <d v="2026-05-13T00:00:00"/>
    <s v="SIM"/>
    <x v="1"/>
    <d v="2026-01-13T00:00:00"/>
    <x v="24"/>
    <x v="16"/>
    <x v="0"/>
    <x v="1"/>
  </r>
  <r>
    <x v="38"/>
    <x v="2"/>
    <d v="2026-01-14T00:00:00"/>
    <d v="2026-05-13T00:00:00"/>
    <s v="SIM"/>
    <x v="1"/>
    <d v="2026-01-13T00:00:00"/>
    <x v="24"/>
    <x v="16"/>
    <x v="0"/>
    <x v="1"/>
  </r>
  <r>
    <x v="39"/>
    <x v="7"/>
    <d v="2026-01-14T00:00:00"/>
    <d v="2026-05-13T00:00:00"/>
    <s v="SIM"/>
    <x v="1"/>
    <d v="2026-01-13T00:00:00"/>
    <x v="24"/>
    <x v="16"/>
    <x v="0"/>
    <x v="1"/>
  </r>
  <r>
    <x v="40"/>
    <x v="10"/>
    <d v="2026-02-06T00:00:00"/>
    <d v="2026-08-04T00:00:00"/>
    <s v="SIM"/>
    <x v="1"/>
    <d v="2026-02-05T00:00:00"/>
    <x v="25"/>
    <x v="17"/>
    <x v="0"/>
    <x v="1"/>
  </r>
  <r>
    <x v="41"/>
    <x v="4"/>
    <d v="2026-02-10T00:00:00"/>
    <d v="2026-08-08T00:00:00"/>
    <s v="SIM"/>
    <x v="1"/>
    <d v="2026-02-09T00:00:00"/>
    <x v="26"/>
    <x v="18"/>
    <x v="0"/>
    <x v="1"/>
  </r>
  <r>
    <x v="4"/>
    <x v="3"/>
    <d v="2026-02-10T00:00:00"/>
    <d v="2026-08-08T00:00:00"/>
    <s v="SIM"/>
    <x v="1"/>
    <d v="2026-02-09T00:00:00"/>
    <x v="26"/>
    <x v="18"/>
    <x v="0"/>
    <x v="1"/>
  </r>
  <r>
    <x v="42"/>
    <x v="4"/>
    <d v="2026-02-25T00:00:00"/>
    <s v="-"/>
    <s v="NÃO"/>
    <x v="0"/>
    <d v="2026-02-24T00:00:00"/>
    <x v="27"/>
    <x v="19"/>
    <x v="0"/>
    <x v="0"/>
  </r>
  <r>
    <x v="43"/>
    <x v="11"/>
    <d v="2026-03-04T00:00:00"/>
    <d v="2026-07-31T00:00:00"/>
    <s v="SIM"/>
    <x v="0"/>
    <d v="2026-02-23T00:00:00"/>
    <x v="28"/>
    <x v="20"/>
    <x v="0"/>
    <x v="0"/>
  </r>
  <r>
    <x v="44"/>
    <x v="11"/>
    <d v="2026-03-13T00:00:00"/>
    <d v="2026-08-09T00:00:00"/>
    <s v="SIM"/>
    <x v="1"/>
    <d v="2026-03-09T00:00:00"/>
    <x v="29"/>
    <x v="21"/>
    <x v="0"/>
    <x v="1"/>
  </r>
  <r>
    <x v="45"/>
    <x v="11"/>
    <d v="2026-03-13T00:00:00"/>
    <d v="2026-08-09T00:00:00"/>
    <s v="SIM"/>
    <x v="1"/>
    <d v="2026-03-11T00:00:00"/>
    <x v="30"/>
    <x v="22"/>
    <x v="0"/>
    <x v="1"/>
  </r>
  <r>
    <x v="46"/>
    <x v="7"/>
    <d v="2026-03-24T00:00:00"/>
    <d v="2026-07-21T00:00:00"/>
    <s v="SIM"/>
    <x v="1"/>
    <d v="2026-03-23T00:00:00"/>
    <x v="31"/>
    <x v="23"/>
    <x v="0"/>
    <x v="1"/>
  </r>
  <r>
    <x v="47"/>
    <x v="8"/>
    <d v="2026-03-26T00:00:00"/>
    <d v="2026-07-23T00:00:00"/>
    <s v="SIM"/>
    <x v="0"/>
    <d v="2026-03-25T00:00:00"/>
    <x v="32"/>
    <x v="24"/>
    <x v="0"/>
    <x v="0"/>
  </r>
  <r>
    <x v="48"/>
    <x v="2"/>
    <d v="2026-03-31T00:00:00"/>
    <d v="2026-05-29T00:00:00"/>
    <s v="NÃO"/>
    <x v="1"/>
    <d v="2026-03-30T00:00:00"/>
    <x v="33"/>
    <x v="25"/>
    <x v="0"/>
    <x v="1"/>
  </r>
  <r>
    <x v="49"/>
    <x v="2"/>
    <d v="2026-04-01T00:00:00"/>
    <d v="2026-05-30T00:00:00"/>
    <s v="NÃO"/>
    <x v="1"/>
    <d v="2026-03-31T00:00:00"/>
    <x v="34"/>
    <x v="26"/>
    <x v="0"/>
    <x v="1"/>
  </r>
  <r>
    <x v="50"/>
    <x v="2"/>
    <d v="2026-04-01T00:00:00"/>
    <d v="2026-05-30T00:00:00"/>
    <s v="NÃO"/>
    <x v="1"/>
    <d v="2026-03-31T00:00:00"/>
    <x v="34"/>
    <x v="26"/>
    <x v="0"/>
    <x v="1"/>
  </r>
  <r>
    <x v="51"/>
    <x v="6"/>
    <s v="07/04/2026"/>
    <d v="2026-06-05T00:00:00"/>
    <s v="NÃO"/>
    <x v="1"/>
    <d v="2026-04-06T00:00:00"/>
    <x v="35"/>
    <x v="27"/>
    <x v="0"/>
    <x v="1"/>
  </r>
  <r>
    <x v="52"/>
    <x v="7"/>
    <s v="08/04/2026"/>
    <d v="2026-11-20T00:00:00"/>
    <s v="SIM"/>
    <x v="2"/>
    <d v="2026-04-07T00:00:00"/>
    <x v="36"/>
    <x v="28"/>
    <x v="0"/>
    <x v="2"/>
  </r>
  <r>
    <x v="53"/>
    <x v="7"/>
    <s v="09/04/2026"/>
    <d v="2026-05-31T00:00:00"/>
    <s v="SIM"/>
    <x v="0"/>
    <d v="2026-04-08T00:00:00"/>
    <x v="37"/>
    <x v="29"/>
    <x v="0"/>
    <x v="0"/>
  </r>
  <r>
    <x v="54"/>
    <x v="7"/>
    <s v="10/04/2026"/>
    <d v="2026-05-31T00:00:00"/>
    <s v="SIM"/>
    <x v="1"/>
    <d v="2026-04-09T00:00:00"/>
    <x v="38"/>
    <x v="30"/>
    <x v="0"/>
    <x v="1"/>
  </r>
  <r>
    <x v="55"/>
    <x v="7"/>
    <s v="10/04/2026"/>
    <d v="2026-05-31T00:00:00"/>
    <s v="SIM"/>
    <x v="1"/>
    <d v="2026-04-09T00:00:00"/>
    <x v="38"/>
    <x v="30"/>
    <x v="0"/>
    <x v="1"/>
  </r>
  <r>
    <x v="56"/>
    <x v="2"/>
    <s v="10/04/2026"/>
    <d v="2026-05-24T00:00:00"/>
    <s v="NÃO"/>
    <x v="1"/>
    <d v="2026-04-09T00:00:00"/>
    <x v="38"/>
    <x v="30"/>
    <x v="0"/>
    <x v="1"/>
  </r>
  <r>
    <x v="57"/>
    <x v="8"/>
    <s v="10/04/2026"/>
    <d v="2026-05-31T00:00:00"/>
    <s v="SIM"/>
    <x v="1"/>
    <d v="2026-04-09T00:00:00"/>
    <x v="38"/>
    <x v="30"/>
    <x v="0"/>
    <x v="1"/>
  </r>
  <r>
    <x v="58"/>
    <x v="8"/>
    <s v="10/04/2026"/>
    <d v="2026-05-31T00:00:00"/>
    <s v="SIM"/>
    <x v="1"/>
    <d v="2026-04-09T00:00:00"/>
    <x v="38"/>
    <x v="30"/>
    <x v="0"/>
    <x v="1"/>
  </r>
  <r>
    <x v="59"/>
    <x v="7"/>
    <s v="10/04/2026"/>
    <d v="2026-05-31T00:00:00"/>
    <s v="SIM"/>
    <x v="1"/>
    <d v="2026-04-09T00:00:00"/>
    <x v="38"/>
    <x v="30"/>
    <x v="0"/>
    <x v="1"/>
  </r>
  <r>
    <x v="60"/>
    <x v="6"/>
    <s v="10/04/2026"/>
    <d v="2026-05-31T00:00:00"/>
    <s v="SIM"/>
    <x v="1"/>
    <d v="2026-04-09T00:00:00"/>
    <x v="38"/>
    <x v="30"/>
    <x v="0"/>
    <x v="1"/>
  </r>
  <r>
    <x v="61"/>
    <x v="6"/>
    <s v="10/04/2026"/>
    <d v="2026-05-31T00:00:00"/>
    <s v="SIM"/>
    <x v="1"/>
    <d v="2026-04-09T00:00:00"/>
    <x v="38"/>
    <x v="30"/>
    <x v="0"/>
    <x v="1"/>
  </r>
  <r>
    <x v="62"/>
    <x v="2"/>
    <s v="10/04/2026"/>
    <d v="2026-05-31T00:00:00"/>
    <s v="SIM"/>
    <x v="1"/>
    <d v="2026-04-09T00:00:00"/>
    <x v="38"/>
    <x v="30"/>
    <x v="0"/>
    <x v="1"/>
  </r>
  <r>
    <x v="63"/>
    <x v="2"/>
    <s v="10/04/2026"/>
    <d v="2026-05-24T00:00:00"/>
    <s v="NÃO"/>
    <x v="1"/>
    <d v="2026-04-09T00:00:00"/>
    <x v="38"/>
    <x v="30"/>
    <x v="0"/>
    <x v="1"/>
  </r>
  <r>
    <x v="64"/>
    <x v="12"/>
    <d v="2026-06-03T00:00:00"/>
    <d v="2026-10-30T00:00:00"/>
    <s v="SIM"/>
    <x v="1"/>
    <d v="2026-04-10T00:00:00"/>
    <x v="39"/>
    <x v="31"/>
    <x v="0"/>
    <x v="1"/>
  </r>
  <r>
    <x v="65"/>
    <x v="7"/>
    <d v="2026-06-08T00:00:00"/>
    <d v="2026-09-05T00:00:00"/>
    <s v="SIM"/>
    <x v="1"/>
    <d v="2026-06-05T00:00:00"/>
    <x v="40"/>
    <x v="32"/>
    <x v="0"/>
    <x v="1"/>
  </r>
  <r>
    <x v="66"/>
    <x v="11"/>
    <d v="2026-06-18T00:00:00"/>
    <d v="2026-10-15T00:00:00"/>
    <s v="SIM"/>
    <x v="1"/>
    <d v="2026-06-17T00:00:00"/>
    <x v="41"/>
    <x v="33"/>
    <x v="0"/>
    <x v="1"/>
  </r>
  <r>
    <x v="67"/>
    <x v="10"/>
    <d v="2026-06-24T00:00:00"/>
    <d v="2026-09-21T00:00:00"/>
    <s v="SIM"/>
    <x v="1"/>
    <d v="2026-06-23T00:00:00"/>
    <x v="42"/>
    <x v="34"/>
    <x v="0"/>
    <x v="1"/>
  </r>
  <r>
    <x v="68"/>
    <x v="7"/>
    <d v="2026-06-24T00:00:00"/>
    <d v="2026-08-22T00:00:00"/>
    <s v="NÃO"/>
    <x v="1"/>
    <d v="2026-06-23T00:00:00"/>
    <x v="42"/>
    <x v="34"/>
    <x v="0"/>
    <x v="1"/>
  </r>
  <r>
    <x v="69"/>
    <x v="11"/>
    <d v="2026-07-01T00:00:00"/>
    <d v="2026-08-29T00:00:00"/>
    <s v="NÃO"/>
    <x v="1"/>
    <d v="2026-07-30T00:00:00"/>
    <x v="43"/>
    <x v="35"/>
    <x v="0"/>
    <x v="1"/>
  </r>
  <r>
    <x v="70"/>
    <x v="6"/>
    <d v="2026-07-01T00:00:00"/>
    <d v="2026-11-05T00:00:00"/>
    <s v="SIM"/>
    <x v="3"/>
    <d v="2026-07-29T00:00:00"/>
    <x v="44"/>
    <x v="36"/>
    <x v="0"/>
    <x v="3"/>
  </r>
  <r>
    <x v="71"/>
    <x v="13"/>
    <d v="2026-07-13T00:00:00"/>
    <d v="2026-10-25T00:00:00"/>
    <s v="SIM"/>
    <x v="1"/>
    <d v="2026-07-03T00:00:00"/>
    <x v="45"/>
    <x v="37"/>
    <x v="0"/>
    <x v="1"/>
  </r>
  <r>
    <x v="72"/>
    <x v="13"/>
    <d v="2026-07-21T00:00:00"/>
    <d v="2026-11-02T00:00:00"/>
    <s v="SIM"/>
    <x v="1"/>
    <d v="2026-07-20T00:00:00"/>
    <x v="46"/>
    <x v="38"/>
    <x v="0"/>
    <x v="1"/>
  </r>
  <r>
    <x v="73"/>
    <x v="13"/>
    <d v="2026-07-21T00:00:00"/>
    <d v="2026-11-02T00:00:00"/>
    <s v="SIM"/>
    <x v="1"/>
    <d v="2026-07-20T00:00:00"/>
    <x v="46"/>
    <x v="38"/>
    <x v="0"/>
    <x v="1"/>
  </r>
  <r>
    <x v="74"/>
    <x v="13"/>
    <d v="2026-07-22T00:00:00"/>
    <d v="2026-11-03T00:00:00"/>
    <s v="SIM"/>
    <x v="1"/>
    <d v="2026-07-21T00:00:00"/>
    <x v="47"/>
    <x v="39"/>
    <x v="0"/>
    <x v="1"/>
  </r>
  <r>
    <x v="75"/>
    <x v="2"/>
    <d v="2026-07-28T00:00:00"/>
    <d v="2026-11-09T00:00:00"/>
    <s v="SIM"/>
    <x v="4"/>
    <d v="2026-07-27T00:00:00"/>
    <x v="48"/>
    <x v="40"/>
    <x v="0"/>
    <x v="4"/>
  </r>
  <r>
    <x v="76"/>
    <x v="8"/>
    <d v="2026-08-19T00:00:00"/>
    <d v="2026-10-17T00:00:00"/>
    <s v="NÃO"/>
    <x v="1"/>
    <d v="2026-08-14T00:00:00"/>
    <x v="49"/>
    <x v="41"/>
    <x v="0"/>
    <x v="1"/>
  </r>
  <r>
    <x v="20"/>
    <x v="9"/>
    <d v="2026-08-21T00:00:00"/>
    <d v="2026-10-19T00:00:00"/>
    <s v="NÃO"/>
    <x v="1"/>
    <d v="2026-08-20T00:00:00"/>
    <x v="50"/>
    <x v="42"/>
    <x v="0"/>
    <x v="1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  <r>
    <x v="77"/>
    <x v="14"/>
    <m/>
    <m/>
    <m/>
    <x v="5"/>
    <m/>
    <x v="51"/>
    <x v="43"/>
    <x v="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x v="0"/>
    <x v="0"/>
    <x v="0"/>
    <x v="0"/>
  </r>
  <r>
    <x v="0"/>
    <x v="1"/>
    <x v="1"/>
    <x v="0"/>
    <x v="0"/>
  </r>
  <r>
    <x v="0"/>
    <x v="2"/>
    <x v="2"/>
    <x v="0"/>
    <x v="0"/>
  </r>
  <r>
    <x v="0"/>
    <x v="3"/>
    <x v="1"/>
    <x v="0"/>
    <x v="0"/>
  </r>
  <r>
    <x v="0"/>
    <x v="4"/>
    <x v="3"/>
    <x v="0"/>
    <x v="1"/>
  </r>
  <r>
    <x v="0"/>
    <x v="5"/>
    <x v="4"/>
    <x v="0"/>
    <x v="2"/>
  </r>
  <r>
    <x v="0"/>
    <x v="6"/>
    <x v="5"/>
    <x v="0"/>
    <x v="3"/>
  </r>
  <r>
    <x v="1"/>
    <x v="7"/>
    <x v="6"/>
    <x v="0"/>
    <x v="4"/>
  </r>
  <r>
    <x v="1"/>
    <x v="8"/>
    <x v="7"/>
    <x v="0"/>
    <x v="0"/>
  </r>
  <r>
    <x v="1"/>
    <x v="9"/>
    <x v="8"/>
    <x v="0"/>
    <x v="0"/>
  </r>
  <r>
    <x v="1"/>
    <x v="10"/>
    <x v="9"/>
    <x v="0"/>
    <x v="0"/>
  </r>
  <r>
    <x v="1"/>
    <x v="11"/>
    <x v="10"/>
    <x v="0"/>
    <x v="0"/>
  </r>
  <r>
    <x v="1"/>
    <x v="12"/>
    <x v="11"/>
    <x v="0"/>
    <x v="0"/>
  </r>
  <r>
    <x v="1"/>
    <x v="13"/>
    <x v="12"/>
    <x v="0"/>
    <x v="0"/>
  </r>
  <r>
    <x v="1"/>
    <x v="14"/>
    <x v="7"/>
    <x v="0"/>
    <x v="0"/>
  </r>
  <r>
    <x v="2"/>
    <x v="7"/>
    <x v="13"/>
    <x v="0"/>
    <x v="0"/>
  </r>
  <r>
    <x v="2"/>
    <x v="8"/>
    <x v="14"/>
    <x v="0"/>
    <x v="0"/>
  </r>
  <r>
    <x v="2"/>
    <x v="9"/>
    <x v="15"/>
    <x v="0"/>
    <x v="0"/>
  </r>
  <r>
    <x v="2"/>
    <x v="10"/>
    <x v="16"/>
    <x v="0"/>
    <x v="0"/>
  </r>
  <r>
    <x v="2"/>
    <x v="11"/>
    <x v="17"/>
    <x v="0"/>
    <x v="5"/>
  </r>
  <r>
    <x v="2"/>
    <x v="12"/>
    <x v="18"/>
    <x v="0"/>
    <x v="6"/>
  </r>
  <r>
    <x v="2"/>
    <x v="13"/>
    <x v="19"/>
    <x v="0"/>
    <x v="0"/>
  </r>
  <r>
    <x v="2"/>
    <x v="14"/>
    <x v="18"/>
    <x v="0"/>
    <x v="6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  <r>
    <x v="3"/>
    <x v="15"/>
    <x v="20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940D7-1EA7-48C8-BBB0-F539781AA48D}" name="Tabela dinâmica6" cacheId="73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G10:K33" firstHeaderRow="1" firstDataRow="1" firstDataCol="5"/>
  <pivotFields count="5">
    <pivotField axis="axisRow" compact="0" outline="0" subtotalTop="0" showAll="0" sortType="ascending" defaultSubtotal="0">
      <items count="4">
        <item x="0"/>
        <item x="1"/>
        <item x="2"/>
        <item x="3"/>
      </items>
    </pivotField>
    <pivotField axis="axisRow" compact="0" outline="0" showAll="0" sortType="ascending" defaultSubtotal="0">
      <items count="19">
        <item x="0"/>
        <item x="3"/>
        <item x="2"/>
        <item x="1"/>
        <item x="7"/>
        <item x="11"/>
        <item m="1" x="18"/>
        <item x="8"/>
        <item x="10"/>
        <item x="9"/>
        <item x="13"/>
        <item x="12"/>
        <item m="1" x="17"/>
        <item m="1" x="16"/>
        <item x="14"/>
        <item x="5"/>
        <item x="6"/>
        <item x="4"/>
        <item x="15"/>
      </items>
    </pivotField>
    <pivotField axis="axisRow" compact="0" outline="0" showAll="0" defaultSubtotal="0">
      <items count="55">
        <item m="1" x="54"/>
        <item x="20"/>
        <item m="1" x="52"/>
        <item m="1" x="53"/>
        <item m="1" x="51"/>
        <item m="1" x="48"/>
        <item m="1" x="36"/>
        <item x="13"/>
        <item x="14"/>
        <item m="1" x="42"/>
        <item x="16"/>
        <item m="1" x="44"/>
        <item x="19"/>
        <item m="1" x="43"/>
        <item m="1" x="50"/>
        <item m="1" x="49"/>
        <item sd="0" m="1" x="34"/>
        <item m="1" x="41"/>
        <item m="1" x="46"/>
        <item m="1" x="35"/>
        <item m="1" x="27"/>
        <item m="1" x="45"/>
        <item m="1" x="21"/>
        <item m="1" x="29"/>
        <item x="8"/>
        <item m="1" x="30"/>
        <item m="1" x="31"/>
        <item m="1" x="47"/>
        <item m="1" x="25"/>
        <item m="1" x="23"/>
        <item m="1" x="33"/>
        <item m="1" x="32"/>
        <item x="18"/>
        <item m="1" x="24"/>
        <item m="1" x="40"/>
        <item m="1" x="39"/>
        <item m="1" x="38"/>
        <item m="1" x="37"/>
        <item m="1" x="22"/>
        <item m="1" x="26"/>
        <item x="0"/>
        <item x="17"/>
        <item x="15"/>
        <item x="7"/>
        <item x="9"/>
        <item x="10"/>
        <item x="11"/>
        <item m="1" x="28"/>
        <item x="12"/>
        <item x="1"/>
        <item x="2"/>
        <item x="3"/>
        <item x="4"/>
        <item x="5"/>
        <item x="6"/>
      </items>
    </pivotField>
    <pivotField axis="axisRow" compact="0" outline="0" showAll="0" defaultSubtotal="0">
      <items count="3">
        <item x="0"/>
        <item m="1" x="1"/>
        <item m="1" x="2"/>
      </items>
    </pivotField>
    <pivotField axis="axisRow" compact="0" outline="0" showAll="0" defaultSubtotal="0">
      <items count="498">
        <item x="4"/>
        <item m="1" x="497"/>
        <item m="1" x="86"/>
        <item x="0"/>
        <item x="7"/>
        <item m="1" x="18"/>
        <item m="1" x="300"/>
        <item m="1" x="175"/>
        <item m="1" x="496"/>
        <item m="1" x="67"/>
        <item m="1" x="26"/>
        <item m="1" x="139"/>
        <item m="1" x="74"/>
        <item m="1" x="295"/>
        <item m="1" x="68"/>
        <item m="1" x="94"/>
        <item m="1" x="265"/>
        <item m="1" x="495"/>
        <item m="1" x="83"/>
        <item m="1" x="57"/>
        <item m="1" x="16"/>
        <item m="1" x="266"/>
        <item m="1" x="390"/>
        <item m="1" x="301"/>
        <item x="5"/>
        <item m="1" x="61"/>
        <item m="1" x="442"/>
        <item m="1" x="77"/>
        <item m="1" x="51"/>
        <item m="1" x="11"/>
        <item m="1" x="263"/>
        <item m="1" x="95"/>
        <item m="1" x="398"/>
        <item m="1" x="106"/>
        <item m="1" x="100"/>
        <item m="1" x="493"/>
        <item m="1" x="107"/>
        <item m="1" x="494"/>
        <item m="1" x="101"/>
        <item m="1" x="229"/>
        <item m="1" x="143"/>
        <item m="1" x="157"/>
        <item m="1" x="261"/>
        <item m="1" x="395"/>
        <item m="1" x="71"/>
        <item m="1" x="45"/>
        <item m="1" x="166"/>
        <item m="1" x="492"/>
        <item m="1" x="223"/>
        <item m="1" x="311"/>
        <item m="1" x="151"/>
        <item m="1" x="128"/>
        <item m="1" x="490"/>
        <item m="1" x="64"/>
        <item m="1" x="39"/>
        <item m="1" x="161"/>
        <item m="1" x="491"/>
        <item m="1" x="88"/>
        <item m="1" x="75"/>
        <item m="1" x="252"/>
        <item m="1" x="43"/>
        <item m="1" x="122"/>
        <item m="1" x="436"/>
        <item m="1" x="196"/>
        <item m="1" x="297"/>
        <item m="1" x="137"/>
        <item m="1" x="148"/>
        <item m="1" x="80"/>
        <item m="1" x="87"/>
        <item m="1" x="489"/>
        <item m="1" x="81"/>
        <item m="1" x="69"/>
        <item m="1" x="131"/>
        <item m="1" x="37"/>
        <item m="1" x="116"/>
        <item m="1" x="434"/>
        <item m="1" x="52"/>
        <item m="1" x="294"/>
        <item m="1" x="256"/>
        <item m="1" x="248"/>
        <item m="1" x="488"/>
        <item m="1" x="205"/>
        <item m="1" x="238"/>
        <item m="1" x="198"/>
        <item m="1" x="240"/>
        <item m="1" x="392"/>
        <item m="1" x="40"/>
        <item m="1" x="28"/>
        <item m="1" x="241"/>
        <item m="1" x="487"/>
        <item m="1" x="367"/>
        <item m="1" x="56"/>
        <item m="1" x="44"/>
        <item m="1" x="316"/>
        <item m="1" x="340"/>
        <item m="1" x="98"/>
        <item m="1" x="425"/>
        <item m="1" x="219"/>
        <item m="1" x="230"/>
        <item m="1" x="120"/>
        <item m="1" x="132"/>
        <item m="1" x="49"/>
        <item m="1" x="55"/>
        <item m="1" x="486"/>
        <item m="1" x="27"/>
        <item m="1" x="21"/>
        <item m="1" x="82"/>
        <item m="1" x="461"/>
        <item m="1" x="317"/>
        <item m="1" x="419"/>
        <item m="1" x="13"/>
        <item m="1" x="192"/>
        <item m="1" x="308"/>
        <item m="1" x="254"/>
        <item m="1" x="485"/>
        <item m="1" x="160"/>
        <item m="1" x="70"/>
        <item m="1" x="328"/>
        <item m="1" x="53"/>
        <item m="1" x="382"/>
        <item m="1" x="187"/>
        <item m="1" x="250"/>
        <item m="1" x="109"/>
        <item m="1" x="484"/>
        <item m="1" x="289"/>
        <item m="1" x="483"/>
        <item m="1" x="224"/>
        <item m="1" x="214"/>
        <item x="2"/>
        <item m="1" x="400"/>
        <item m="1" x="138"/>
        <item m="1" x="290"/>
        <item m="1" x="226"/>
        <item m="1" x="473"/>
        <item m="1" x="235"/>
        <item m="1" x="287"/>
        <item m="1" x="270"/>
        <item m="1" x="342"/>
        <item m="1" x="480"/>
        <item m="1" x="481"/>
        <item m="1" x="97"/>
        <item m="1" x="178"/>
        <item m="1" x="233"/>
        <item m="1" x="482"/>
        <item m="1" x="298"/>
        <item m="1" x="155"/>
        <item m="1" x="163"/>
        <item m="1" x="388"/>
        <item m="1" x="164"/>
        <item m="1" x="479"/>
        <item m="1" x="22"/>
        <item m="1" x="144"/>
        <item m="1" x="146"/>
        <item m="1" x="356"/>
        <item m="1" x="46"/>
        <item m="1" x="245"/>
        <item m="1" x="112"/>
        <item m="1" x="450"/>
        <item x="6"/>
        <item m="1" x="206"/>
        <item m="1" x="38"/>
        <item m="1" x="264"/>
        <item m="1" x="276"/>
        <item m="1" x="378"/>
        <item m="1" x="29"/>
        <item m="1" x="268"/>
        <item m="1" x="448"/>
        <item m="1" x="12"/>
        <item m="1" x="478"/>
        <item m="1" x="177"/>
        <item m="1" x="259"/>
        <item m="1" x="286"/>
        <item m="1" x="234"/>
        <item m="1" x="476"/>
        <item m="1" x="202"/>
        <item m="1" x="121"/>
        <item m="1" x="135"/>
        <item m="1" x="477"/>
        <item m="1" x="446"/>
        <item m="1" x="341"/>
        <item m="1" x="154"/>
        <item m="1" x="203"/>
        <item m="1" x="195"/>
        <item m="1" x="184"/>
        <item m="1" x="296"/>
        <item m="1" x="172"/>
        <item m="1" x="90"/>
        <item m="1" x="282"/>
        <item m="1" x="92"/>
        <item m="1" x="347"/>
        <item m="1" x="335"/>
        <item x="1"/>
        <item m="1" x="181"/>
        <item m="1" x="474"/>
        <item m="1" x="475"/>
        <item m="1" x="153"/>
        <item m="1" x="227"/>
        <item m="1" x="84"/>
        <item m="1" x="209"/>
        <item m="1" x="257"/>
        <item m="1" x="331"/>
        <item m="1" x="141"/>
        <item m="1" x="283"/>
        <item m="1" x="437"/>
        <item m="1" x="65"/>
        <item m="1" x="79"/>
        <item m="1" x="243"/>
        <item m="1" x="220"/>
        <item m="1" x="472"/>
        <item m="1" x="430"/>
        <item m="1" x="35"/>
        <item m="1" x="48"/>
        <item m="1" x="452"/>
        <item m="1" x="470"/>
        <item m="1" x="471"/>
        <item m="1" x="348"/>
        <item m="1" x="34"/>
        <item m="1" x="310"/>
        <item m="1" x="36"/>
        <item m="1" x="363"/>
        <item m="1" x="439"/>
        <item m="1" x="329"/>
        <item m="1" x="370"/>
        <item m="1" x="468"/>
        <item m="1" x="469"/>
        <item m="1" x="126"/>
        <item m="1" x="277"/>
        <item m="1" x="170"/>
        <item m="1" x="339"/>
        <item m="1" x="465"/>
        <item m="1" x="103"/>
        <item m="1" x="466"/>
        <item m="1" x="467"/>
        <item m="1" x="108"/>
        <item m="1" x="169"/>
        <item m="1" x="303"/>
        <item m="1" x="334"/>
        <item m="1" x="428"/>
        <item m="1" x="130"/>
        <item m="1" x="462"/>
        <item m="1" x="463"/>
        <item m="1" x="464"/>
        <item m="1" x="96"/>
        <item m="1" x="269"/>
        <item m="1" x="147"/>
        <item m="1" x="225"/>
        <item m="1" x="213"/>
        <item m="1" x="344"/>
        <item m="1" x="460"/>
        <item m="1" x="414"/>
        <item m="1" x="115"/>
        <item m="1" x="89"/>
        <item m="1" x="232"/>
        <item m="1" x="15"/>
        <item m="1" x="445"/>
        <item m="1" x="350"/>
        <item m="1" x="458"/>
        <item m="1" x="459"/>
        <item m="1" x="249"/>
        <item m="1" x="8"/>
        <item m="1" x="10"/>
        <item m="1" x="324"/>
        <item m="1" x="318"/>
        <item m="1" x="191"/>
        <item m="1" x="455"/>
        <item m="1" x="456"/>
        <item m="1" x="457"/>
        <item m="1" x="76"/>
        <item m="1" x="218"/>
        <item m="1" x="326"/>
        <item m="1" x="211"/>
        <item m="1" x="453"/>
        <item m="1" x="454"/>
        <item m="1" x="215"/>
        <item x="3"/>
        <item m="1" x="357"/>
        <item m="1" x="207"/>
        <item m="1" x="451"/>
        <item m="1" x="58"/>
        <item m="1" x="190"/>
        <item m="1" x="321"/>
        <item m="1" x="319"/>
        <item m="1" x="179"/>
        <item m="1" x="23"/>
        <item m="1" x="330"/>
        <item m="1" x="449"/>
        <item m="1" x="180"/>
        <item m="1" x="217"/>
        <item m="1" x="158"/>
        <item m="1" x="447"/>
        <item m="1" x="33"/>
        <item m="1" x="285"/>
        <item m="1" x="307"/>
        <item m="1" x="152"/>
        <item m="1" x="443"/>
        <item m="1" x="444"/>
        <item m="1" x="273"/>
        <item m="1" x="174"/>
        <item m="1" x="162"/>
        <item m="1" x="441"/>
        <item m="1" x="338"/>
        <item m="1" x="302"/>
        <item m="1" x="440"/>
        <item m="1" x="62"/>
        <item m="1" x="193"/>
        <item m="1" x="332"/>
        <item m="1" x="320"/>
        <item m="1" x="438"/>
        <item m="1" x="176"/>
        <item m="1" x="17"/>
        <item m="1" x="281"/>
        <item m="1" x="189"/>
        <item m="1" x="136"/>
        <item m="1" x="353"/>
        <item m="1" x="435"/>
        <item m="1" x="156"/>
        <item m="1" x="197"/>
        <item m="1" x="346"/>
        <item m="1" x="299"/>
        <item m="1" x="432"/>
        <item m="1" x="433"/>
        <item m="1" x="267"/>
        <item m="1" x="150"/>
        <item m="1" x="315"/>
        <item m="1" x="145"/>
        <item m="1" x="216"/>
        <item m="1" x="431"/>
        <item m="1" x="237"/>
        <item m="1" x="50"/>
        <item m="1" x="185"/>
        <item m="1" x="429"/>
        <item m="1" x="199"/>
        <item m="1" x="183"/>
        <item m="1" x="345"/>
        <item m="1" x="124"/>
        <item m="1" x="426"/>
        <item m="1" x="427"/>
        <item m="1" x="140"/>
        <item m="1" x="278"/>
        <item m="1" x="173"/>
        <item m="1" x="118"/>
        <item m="1" x="424"/>
        <item m="1" x="246"/>
        <item m="1" x="355"/>
        <item m="1" x="32"/>
        <item m="1" x="167"/>
        <item m="1" x="258"/>
        <item m="1" x="423"/>
        <item m="1" x="389"/>
        <item m="1" x="244"/>
        <item m="1" x="421"/>
        <item m="1" x="422"/>
        <item m="1" x="274"/>
        <item m="1" x="305"/>
        <item m="1" x="149"/>
        <item m="1" x="420"/>
        <item m="1" x="385"/>
        <item m="1" x="117"/>
        <item m="1" x="110"/>
        <item m="1" x="418"/>
        <item m="1" x="104"/>
        <item m="1" x="416"/>
        <item m="1" x="417"/>
        <item m="1" x="279"/>
        <item m="1" x="111"/>
        <item m="1" x="397"/>
        <item m="1" x="415"/>
        <item m="1" x="105"/>
        <item m="1" x="133"/>
        <item m="1" x="413"/>
        <item m="1" x="379"/>
        <item m="1" x="99"/>
        <item m="1" x="411"/>
        <item m="1" x="412"/>
        <item m="1" x="73"/>
        <item m="1" x="409"/>
        <item m="1" x="93"/>
        <item m="1" x="410"/>
        <item m="1" x="373"/>
        <item m="1" x="66"/>
        <item m="1" x="407"/>
        <item m="1" x="408"/>
        <item m="1" x="271"/>
        <item m="1" x="60"/>
        <item m="1" x="47"/>
        <item m="1" x="405"/>
        <item m="1" x="406"/>
        <item m="1" x="182"/>
        <item m="1" x="41"/>
        <item m="1" x="404"/>
        <item m="1" x="372"/>
        <item m="1" x="262"/>
        <item m="1" x="114"/>
        <item m="1" x="403"/>
        <item m="1" x="369"/>
        <item m="1" x="42"/>
        <item m="1" x="91"/>
        <item m="1" x="401"/>
        <item m="1" x="402"/>
        <item m="1" x="102"/>
        <item m="1" x="275"/>
        <item m="1" x="399"/>
        <item m="1" x="31"/>
        <item m="1" x="396"/>
        <item m="1" x="393"/>
        <item m="1" x="394"/>
        <item m="1" x="362"/>
        <item m="1" x="313"/>
        <item m="1" x="391"/>
        <item m="1" x="361"/>
        <item m="1" x="119"/>
        <item m="1" x="306"/>
        <item m="1" x="194"/>
        <item m="1" x="19"/>
        <item m="1" x="59"/>
        <item m="1" x="387"/>
        <item m="1" x="113"/>
        <item m="1" x="186"/>
        <item m="1" x="386"/>
        <item m="1" x="14"/>
        <item m="1" x="383"/>
        <item m="1" x="384"/>
        <item m="1" x="380"/>
        <item m="1" x="381"/>
        <item m="1" x="210"/>
        <item m="1" x="255"/>
        <item m="1" x="168"/>
        <item m="1" x="354"/>
        <item m="1" x="188"/>
        <item m="1" x="201"/>
        <item m="1" x="377"/>
        <item m="1" x="327"/>
        <item m="1" x="272"/>
        <item m="1" x="375"/>
        <item m="1" x="376"/>
        <item m="1" x="365"/>
        <item m="1" x="325"/>
        <item m="1" x="374"/>
        <item m="1" x="323"/>
        <item m="1" x="349"/>
        <item m="1" x="134"/>
        <item m="1" x="371"/>
        <item m="1" x="368"/>
        <item m="1" x="222"/>
        <item m="1" x="366"/>
        <item m="1" x="364"/>
        <item m="1" x="204"/>
        <item m="1" x="127"/>
        <item m="1" x="85"/>
        <item m="1" x="123"/>
        <item m="1" x="359"/>
        <item m="1" x="360"/>
        <item m="1" x="165"/>
        <item m="1" x="358"/>
        <item m="1" x="284"/>
        <item m="1" x="159"/>
        <item m="1" x="322"/>
        <item m="1" x="24"/>
        <item m="1" x="352"/>
        <item m="1" x="9"/>
        <item m="1" x="293"/>
        <item m="1" x="351"/>
        <item m="1" x="292"/>
        <item m="1" x="280"/>
        <item m="1" x="125"/>
        <item m="1" x="333"/>
        <item m="1" x="200"/>
        <item m="1" x="251"/>
        <item m="1" x="25"/>
        <item m="1" x="212"/>
        <item m="1" x="253"/>
        <item m="1" x="171"/>
        <item m="1" x="208"/>
        <item m="1" x="20"/>
        <item m="1" x="247"/>
        <item m="1" x="343"/>
        <item m="1" x="336"/>
        <item m="1" x="337"/>
        <item m="1" x="221"/>
        <item m="1" x="312"/>
        <item m="1" x="236"/>
        <item m="1" x="63"/>
        <item m="1" x="72"/>
        <item m="1" x="314"/>
        <item m="1" x="54"/>
        <item m="1" x="309"/>
        <item m="1" x="242"/>
        <item m="1" x="304"/>
        <item m="1" x="288"/>
        <item m="1" x="142"/>
        <item m="1" x="291"/>
        <item m="1" x="78"/>
        <item m="1" x="129"/>
        <item m="1" x="30"/>
        <item m="1" x="260"/>
        <item m="1" x="239"/>
        <item m="1" x="231"/>
        <item m="1" x="228"/>
      </items>
    </pivotField>
  </pivotFields>
  <rowFields count="5">
    <field x="1"/>
    <field x="0"/>
    <field x="4"/>
    <field x="2"/>
    <field x="3"/>
  </rowFields>
  <rowItems count="23">
    <i>
      <x/>
      <x/>
      <x v="3"/>
      <x v="40"/>
      <x/>
    </i>
    <i>
      <x v="1"/>
      <x/>
      <x v="3"/>
      <x v="49"/>
      <x/>
    </i>
    <i>
      <x v="2"/>
      <x/>
      <x v="3"/>
      <x v="50"/>
      <x/>
    </i>
    <i>
      <x v="3"/>
      <x/>
      <x v="3"/>
      <x v="49"/>
      <x/>
    </i>
    <i>
      <x v="4"/>
      <x v="1"/>
      <x/>
      <x v="54"/>
      <x/>
    </i>
    <i r="1">
      <x v="2"/>
      <x v="3"/>
      <x v="7"/>
      <x/>
    </i>
    <i>
      <x v="5"/>
      <x v="1"/>
      <x v="3"/>
      <x v="45"/>
      <x/>
    </i>
    <i r="1">
      <x v="2"/>
      <x v="24"/>
      <x v="41"/>
      <x/>
    </i>
    <i>
      <x v="7"/>
      <x v="1"/>
      <x v="3"/>
      <x v="43"/>
      <x/>
    </i>
    <i r="1">
      <x v="2"/>
      <x v="3"/>
      <x v="8"/>
      <x/>
    </i>
    <i>
      <x v="8"/>
      <x v="1"/>
      <x v="3"/>
      <x v="44"/>
      <x/>
    </i>
    <i r="1">
      <x v="2"/>
      <x v="3"/>
      <x v="10"/>
      <x/>
    </i>
    <i>
      <x v="9"/>
      <x v="1"/>
      <x v="3"/>
      <x v="24"/>
      <x/>
    </i>
    <i r="1">
      <x v="2"/>
      <x v="3"/>
      <x v="42"/>
      <x/>
    </i>
    <i>
      <x v="10"/>
      <x v="1"/>
      <x v="3"/>
      <x v="48"/>
      <x/>
    </i>
    <i r="1">
      <x v="2"/>
      <x v="3"/>
      <x v="12"/>
      <x/>
    </i>
    <i>
      <x v="11"/>
      <x v="1"/>
      <x v="3"/>
      <x v="46"/>
      <x/>
    </i>
    <i r="1">
      <x v="2"/>
      <x v="158"/>
      <x v="32"/>
      <x/>
    </i>
    <i>
      <x v="14"/>
      <x v="1"/>
      <x v="3"/>
      <x v="43"/>
      <x/>
    </i>
    <i r="1">
      <x v="2"/>
      <x v="158"/>
      <x v="32"/>
      <x/>
    </i>
    <i>
      <x v="15"/>
      <x/>
      <x v="128"/>
      <x v="52"/>
      <x/>
    </i>
    <i>
      <x v="16"/>
      <x/>
      <x v="274"/>
      <x v="53"/>
      <x/>
    </i>
    <i>
      <x v="17"/>
      <x/>
      <x v="191"/>
      <x v="51"/>
      <x/>
    </i>
  </rowItems>
  <colItems count="1">
    <i/>
  </colItems>
  <formats count="202">
    <format dxfId="1846">
      <pivotArea type="all" dataOnly="0" outline="0" fieldPosition="0"/>
    </format>
    <format dxfId="1845">
      <pivotArea field="1" type="button" dataOnly="0" labelOnly="1" outline="0" axis="axisRow" fieldPosition="0"/>
    </format>
    <format dxfId="1844">
      <pivotArea field="4" type="button" dataOnly="0" labelOnly="1" outline="0" axis="axisRow" fieldPosition="2"/>
    </format>
    <format dxfId="1843">
      <pivotArea field="2" type="button" dataOnly="0" labelOnly="1" outline="0" axis="axisRow" fieldPosition="3"/>
    </format>
    <format dxfId="1842">
      <pivotArea field="3" type="button" dataOnly="0" labelOnly="1" outline="0" axis="axisRow" fieldPosition="4"/>
    </format>
    <format dxfId="1841">
      <pivotArea dataOnly="0" labelOnly="1" outline="0" fieldPosition="0">
        <references count="1">
          <reference field="1" count="3">
            <x v="6"/>
            <x v="15"/>
            <x v="16"/>
          </reference>
        </references>
      </pivotArea>
    </format>
    <format dxfId="1840">
      <pivotArea field="1" type="button" dataOnly="0" labelOnly="1" outline="0" axis="axisRow" fieldPosition="0"/>
    </format>
    <format dxfId="1839">
      <pivotArea field="4" type="button" dataOnly="0" labelOnly="1" outline="0" axis="axisRow" fieldPosition="2"/>
    </format>
    <format dxfId="1838">
      <pivotArea field="2" type="button" dataOnly="0" labelOnly="1" outline="0" axis="axisRow" fieldPosition="3"/>
    </format>
    <format dxfId="1837">
      <pivotArea field="3" type="button" dataOnly="0" labelOnly="1" outline="0" axis="axisRow" fieldPosition="4"/>
    </format>
    <format dxfId="1836">
      <pivotArea field="1" type="button" dataOnly="0" labelOnly="1" outline="0" axis="axisRow" fieldPosition="0"/>
    </format>
    <format dxfId="1835">
      <pivotArea field="4" type="button" dataOnly="0" labelOnly="1" outline="0" axis="axisRow" fieldPosition="2"/>
    </format>
    <format dxfId="1834">
      <pivotArea field="2" type="button" dataOnly="0" labelOnly="1" outline="0" axis="axisRow" fieldPosition="3"/>
    </format>
    <format dxfId="1833">
      <pivotArea field="3" type="button" dataOnly="0" labelOnly="1" outline="0" axis="axisRow" fieldPosition="4"/>
    </format>
    <format dxfId="1832">
      <pivotArea dataOnly="0" labelOnly="1" outline="0" fieldPosition="0">
        <references count="1">
          <reference field="1" count="3">
            <x v="6"/>
            <x v="15"/>
            <x v="16"/>
          </reference>
        </references>
      </pivotArea>
    </format>
    <format dxfId="1831">
      <pivotArea type="all" dataOnly="0" outline="0" fieldPosition="0"/>
    </format>
    <format dxfId="1830">
      <pivotArea field="1" type="button" dataOnly="0" labelOnly="1" outline="0" axis="axisRow" fieldPosition="0"/>
    </format>
    <format dxfId="1829">
      <pivotArea field="4" type="button" dataOnly="0" labelOnly="1" outline="0" axis="axisRow" fieldPosition="2"/>
    </format>
    <format dxfId="1828">
      <pivotArea field="2" type="button" dataOnly="0" labelOnly="1" outline="0" axis="axisRow" fieldPosition="3"/>
    </format>
    <format dxfId="1827">
      <pivotArea field="3" type="button" dataOnly="0" labelOnly="1" outline="0" axis="axisRow" fieldPosition="4"/>
    </format>
    <format dxfId="1826">
      <pivotArea dataOnly="0" labelOnly="1" outline="0" fieldPosition="0">
        <references count="1">
          <reference field="1" count="3">
            <x v="6"/>
            <x v="15"/>
            <x v="16"/>
          </reference>
        </references>
      </pivotArea>
    </format>
    <format dxfId="1825">
      <pivotArea type="all" dataOnly="0" outline="0" fieldPosition="0"/>
    </format>
    <format dxfId="1824">
      <pivotArea field="1" type="button" dataOnly="0" labelOnly="1" outline="0" axis="axisRow" fieldPosition="0"/>
    </format>
    <format dxfId="1823">
      <pivotArea field="4" type="button" dataOnly="0" labelOnly="1" outline="0" axis="axisRow" fieldPosition="2"/>
    </format>
    <format dxfId="1822">
      <pivotArea field="2" type="button" dataOnly="0" labelOnly="1" outline="0" axis="axisRow" fieldPosition="3"/>
    </format>
    <format dxfId="1821">
      <pivotArea field="3" type="button" dataOnly="0" labelOnly="1" outline="0" axis="axisRow" fieldPosition="4"/>
    </format>
    <format dxfId="1820">
      <pivotArea dataOnly="0" labelOnly="1" outline="0" fieldPosition="0">
        <references count="1">
          <reference field="1" count="3">
            <x v="6"/>
            <x v="15"/>
            <x v="16"/>
          </reference>
        </references>
      </pivotArea>
    </format>
    <format dxfId="1819">
      <pivotArea field="1" type="button" dataOnly="0" labelOnly="1" outline="0" axis="axisRow" fieldPosition="0"/>
    </format>
    <format dxfId="1818">
      <pivotArea field="3" type="button" dataOnly="0" labelOnly="1" outline="0" axis="axisRow" fieldPosition="4"/>
    </format>
    <format dxfId="1817">
      <pivotArea field="1" type="button" dataOnly="0" labelOnly="1" outline="0" axis="axisRow" fieldPosition="0"/>
    </format>
    <format dxfId="1816">
      <pivotArea field="4" type="button" dataOnly="0" labelOnly="1" outline="0" axis="axisRow" fieldPosition="2"/>
    </format>
    <format dxfId="1815">
      <pivotArea field="2" type="button" dataOnly="0" labelOnly="1" outline="0" axis="axisRow" fieldPosition="3"/>
    </format>
    <format dxfId="1814">
      <pivotArea field="3" type="button" dataOnly="0" labelOnly="1" outline="0" axis="axisRow" fieldPosition="4"/>
    </format>
    <format dxfId="1813">
      <pivotArea field="1" type="button" dataOnly="0" labelOnly="1" outline="0" axis="axisRow" fieldPosition="0"/>
    </format>
    <format dxfId="1812">
      <pivotArea field="4" type="button" dataOnly="0" labelOnly="1" outline="0" axis="axisRow" fieldPosition="2"/>
    </format>
    <format dxfId="1811">
      <pivotArea field="2" type="button" dataOnly="0" labelOnly="1" outline="0" axis="axisRow" fieldPosition="3"/>
    </format>
    <format dxfId="1810">
      <pivotArea field="3" type="button" dataOnly="0" labelOnly="1" outline="0" axis="axisRow" fieldPosition="4"/>
    </format>
    <format dxfId="1809">
      <pivotArea field="4" type="button" dataOnly="0" labelOnly="1" outline="0" axis="axisRow" fieldPosition="2"/>
    </format>
    <format dxfId="1808">
      <pivotArea field="2" type="button" dataOnly="0" labelOnly="1" outline="0" axis="axisRow" fieldPosition="3"/>
    </format>
    <format dxfId="1807">
      <pivotArea field="4" type="button" dataOnly="0" labelOnly="1" outline="0" axis="axisRow" fieldPosition="2"/>
    </format>
    <format dxfId="1806">
      <pivotArea field="2" type="button" dataOnly="0" labelOnly="1" outline="0" axis="axisRow" fieldPosition="3"/>
    </format>
    <format dxfId="1805">
      <pivotArea field="1" type="button" dataOnly="0" labelOnly="1" outline="0" axis="axisRow" fieldPosition="0"/>
    </format>
    <format dxfId="1804">
      <pivotArea field="2" type="button" dataOnly="0" labelOnly="1" outline="0" axis="axisRow" fieldPosition="3"/>
    </format>
    <format dxfId="1803">
      <pivotArea field="3" type="button" dataOnly="0" labelOnly="1" outline="0" axis="axisRow" fieldPosition="4"/>
    </format>
    <format dxfId="1802">
      <pivotArea dataOnly="0" labelOnly="1" outline="0" fieldPosition="0">
        <references count="2">
          <reference field="0" count="1">
            <x v="0"/>
          </reference>
          <reference field="1" count="1" selected="0">
            <x v="16"/>
          </reference>
        </references>
      </pivotArea>
    </format>
    <format dxfId="1801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4"/>
          </reference>
        </references>
      </pivotArea>
    </format>
    <format dxfId="1800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7"/>
          </reference>
        </references>
      </pivotArea>
    </format>
    <format dxfId="1799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9"/>
          </reference>
        </references>
      </pivotArea>
    </format>
    <format dxfId="1798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8"/>
          </reference>
        </references>
      </pivotArea>
    </format>
    <format dxfId="1797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5"/>
          </reference>
        </references>
      </pivotArea>
    </format>
    <format dxfId="1796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11"/>
          </reference>
        </references>
      </pivotArea>
    </format>
    <format dxfId="1795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10"/>
          </reference>
        </references>
      </pivotArea>
    </format>
    <format dxfId="1794">
      <pivotArea dataOnly="0" labelOnly="1" outline="0" fieldPosition="0">
        <references count="2">
          <reference field="0" count="2">
            <x v="1"/>
            <x v="2"/>
          </reference>
          <reference field="1" count="1" selected="0">
            <x v="13"/>
          </reference>
        </references>
      </pivotArea>
    </format>
    <format dxfId="1793">
      <pivotArea dataOnly="0" labelOnly="1" outline="0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17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4" count="1">
            <x v="3"/>
          </reference>
        </references>
      </pivotArea>
    </format>
    <format dxfId="17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4" count="1">
            <x v="14"/>
          </reference>
        </references>
      </pivotArea>
    </format>
    <format dxfId="17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4" count="1">
            <x v="17"/>
          </reference>
        </references>
      </pivotArea>
    </format>
    <format dxfId="178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4" count="1">
            <x v="3"/>
          </reference>
        </references>
      </pivotArea>
    </format>
    <format dxfId="17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4" count="1">
            <x v="18"/>
          </reference>
        </references>
      </pivotArea>
    </format>
    <format dxfId="178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"/>
          </reference>
          <reference field="4" count="1">
            <x v="3"/>
          </reference>
        </references>
      </pivotArea>
    </format>
    <format dxfId="17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4" count="1">
            <x v="19"/>
          </reference>
        </references>
      </pivotArea>
    </format>
    <format dxfId="178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4" count="1">
            <x v="3"/>
          </reference>
        </references>
      </pivotArea>
    </format>
    <format dxfId="17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4" count="1">
            <x v="18"/>
          </reference>
        </references>
      </pivotArea>
    </format>
    <format dxfId="178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4" count="1">
            <x v="3"/>
          </reference>
        </references>
      </pivotArea>
    </format>
    <format dxfId="17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4" count="1">
            <x v="20"/>
          </reference>
        </references>
      </pivotArea>
    </format>
    <format dxfId="178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3"/>
          </reference>
        </references>
      </pivotArea>
    </format>
    <format dxfId="17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4" count="1">
            <x v="19"/>
          </reference>
        </references>
      </pivotArea>
    </format>
    <format dxfId="177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4" count="1">
            <x v="3"/>
          </reference>
        </references>
      </pivotArea>
    </format>
    <format dxfId="17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4" count="1">
            <x v="21"/>
          </reference>
        </references>
      </pivotArea>
    </format>
    <format dxfId="177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4" count="1">
            <x v="3"/>
          </reference>
        </references>
      </pivotArea>
    </format>
    <format dxfId="17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4" count="1">
            <x v="18"/>
          </reference>
        </references>
      </pivotArea>
    </format>
    <format dxfId="177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3"/>
          </reference>
          <reference field="4" count="1">
            <x v="3"/>
          </reference>
        </references>
      </pivotArea>
    </format>
    <format dxfId="177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4" count="1">
            <x v="15"/>
          </reference>
        </references>
      </pivotArea>
    </format>
    <format dxfId="177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4" count="1">
            <x v="3"/>
          </reference>
        </references>
      </pivotArea>
    </format>
    <format dxfId="177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"/>
          </reference>
          <reference field="4" count="1">
            <x v="16"/>
          </reference>
        </references>
      </pivotArea>
    </format>
    <format dxfId="17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"/>
          </reference>
          <reference field="2" count="1">
            <x v="21"/>
          </reference>
          <reference field="4" count="1" selected="0">
            <x v="3"/>
          </reference>
        </references>
      </pivotArea>
    </format>
    <format dxfId="17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"/>
          </reference>
          <reference field="2" count="1">
            <x v="6"/>
          </reference>
          <reference field="4" count="1" selected="0">
            <x v="14"/>
          </reference>
        </references>
      </pivotArea>
    </format>
    <format dxfId="17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"/>
          </reference>
          <reference field="2" count="1">
            <x v="22"/>
          </reference>
          <reference field="4" count="1" selected="0">
            <x v="17"/>
          </reference>
        </references>
      </pivotArea>
    </format>
    <format dxfId="17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"/>
          </reference>
          <reference field="2" count="1">
            <x v="7"/>
          </reference>
          <reference field="4" count="1" selected="0">
            <x v="3"/>
          </reference>
        </references>
      </pivotArea>
    </format>
    <format dxfId="17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"/>
          </reference>
          <reference field="2" count="1">
            <x v="23"/>
          </reference>
          <reference field="4" count="1" selected="0">
            <x v="18"/>
          </reference>
        </references>
      </pivotArea>
    </format>
    <format dxfId="17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7"/>
          </reference>
          <reference field="2" count="1">
            <x v="8"/>
          </reference>
          <reference field="4" count="1" selected="0">
            <x v="3"/>
          </reference>
        </references>
      </pivotArea>
    </format>
    <format dxfId="17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"/>
          </reference>
          <reference field="2" count="1">
            <x v="24"/>
          </reference>
          <reference field="4" count="1" selected="0">
            <x v="19"/>
          </reference>
        </references>
      </pivotArea>
    </format>
    <format dxfId="176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"/>
          </reference>
          <reference field="2" count="1">
            <x v="9"/>
          </reference>
          <reference field="4" count="1" selected="0">
            <x v="3"/>
          </reference>
        </references>
      </pivotArea>
    </format>
    <format dxfId="17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"/>
          </reference>
          <reference field="2" count="1">
            <x v="23"/>
          </reference>
          <reference field="4" count="1" selected="0">
            <x v="18"/>
          </reference>
        </references>
      </pivotArea>
    </format>
    <format dxfId="176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>
            <x v="10"/>
          </reference>
          <reference field="4" count="1" selected="0">
            <x v="3"/>
          </reference>
        </references>
      </pivotArea>
    </format>
    <format dxfId="17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2" count="1">
            <x v="25"/>
          </reference>
          <reference field="4" count="1" selected="0">
            <x v="20"/>
          </reference>
        </references>
      </pivotArea>
    </format>
    <format dxfId="176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"/>
          </reference>
          <reference field="2" count="1">
            <x v="11"/>
          </reference>
          <reference field="4" count="1" selected="0">
            <x v="3"/>
          </reference>
        </references>
      </pivotArea>
    </format>
    <format dxfId="17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"/>
          </reference>
          <reference field="2" count="1">
            <x v="24"/>
          </reference>
          <reference field="4" count="1" selected="0">
            <x v="19"/>
          </reference>
        </references>
      </pivotArea>
    </format>
    <format dxfId="175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"/>
          </reference>
          <reference field="2" count="1">
            <x v="12"/>
          </reference>
          <reference field="4" count="1" selected="0">
            <x v="3"/>
          </reference>
        </references>
      </pivotArea>
    </format>
    <format dxfId="17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"/>
          </reference>
          <reference field="2" count="1">
            <x v="26"/>
          </reference>
          <reference field="4" count="1" selected="0">
            <x v="21"/>
          </reference>
        </references>
      </pivotArea>
    </format>
    <format dxfId="175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"/>
          </reference>
          <reference field="2" count="1">
            <x v="12"/>
          </reference>
          <reference field="4" count="1" selected="0">
            <x v="3"/>
          </reference>
        </references>
      </pivotArea>
    </format>
    <format dxfId="17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"/>
          </reference>
          <reference field="2" count="1">
            <x v="23"/>
          </reference>
          <reference field="4" count="1" selected="0">
            <x v="18"/>
          </reference>
        </references>
      </pivotArea>
    </format>
    <format dxfId="175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3"/>
          </reference>
          <reference field="2" count="1">
            <x v="13"/>
          </reference>
          <reference field="4" count="1" selected="0">
            <x v="3"/>
          </reference>
        </references>
      </pivotArea>
    </format>
    <format dxfId="17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>
            <x v="16"/>
          </reference>
          <reference field="4" count="1" selected="0">
            <x v="3"/>
          </reference>
        </references>
      </pivotArea>
    </format>
    <format dxfId="17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1">
            <x v="17"/>
          </reference>
          <reference field="4" count="1" selected="0">
            <x v="15"/>
          </reference>
        </references>
      </pivotArea>
    </format>
    <format dxfId="17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2" count="1">
            <x v="18"/>
          </reference>
          <reference field="4" count="1" selected="0">
            <x v="3"/>
          </reference>
        </references>
      </pivotArea>
    </format>
    <format dxfId="17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>
            <x v="19"/>
          </reference>
          <reference field="4" count="1" selected="0">
            <x v="3"/>
          </reference>
        </references>
      </pivotArea>
    </format>
    <format dxfId="17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>
            <x v="20"/>
          </reference>
          <reference field="4" count="1" selected="0">
            <x v="16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6"/>
          </reference>
          <reference field="2" count="1" selected="0">
            <x v="21"/>
          </reference>
          <reference field="3" count="0"/>
          <reference field="4" count="1" selected="0">
            <x v="3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5"/>
          </reference>
          <reference field="2" count="1" selected="0">
            <x v="6"/>
          </reference>
          <reference field="3" count="0"/>
          <reference field="4" count="1" selected="0">
            <x v="14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4"/>
          </reference>
          <reference field="2" count="1" selected="0">
            <x v="22"/>
          </reference>
          <reference field="3" count="0"/>
          <reference field="4" count="1" selected="0">
            <x v="17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4"/>
          </reference>
          <reference field="2" count="1" selected="0">
            <x v="7"/>
          </reference>
          <reference field="3" count="0"/>
          <reference field="4" count="1" selected="0">
            <x v="3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7"/>
          </reference>
          <reference field="2" count="1" selected="0">
            <x v="23"/>
          </reference>
          <reference field="3" count="0"/>
          <reference field="4" count="1" selected="0">
            <x v="18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7"/>
          </reference>
          <reference field="2" count="1" selected="0">
            <x v="8"/>
          </reference>
          <reference field="3" count="0"/>
          <reference field="4" count="1" selected="0">
            <x v="3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24"/>
          </reference>
          <reference field="3" count="0"/>
          <reference field="4" count="1" selected="0">
            <x v="19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9"/>
          </reference>
          <reference field="2" count="1" selected="0">
            <x v="9"/>
          </reference>
          <reference field="3" count="0"/>
          <reference field="4" count="1" selected="0">
            <x v="3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8"/>
          </reference>
          <reference field="2" count="1" selected="0">
            <x v="23"/>
          </reference>
          <reference field="3" count="0"/>
          <reference field="4" count="1" selected="0">
            <x v="18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10"/>
          </reference>
          <reference field="3" count="0"/>
          <reference field="4" count="1" selected="0">
            <x v="3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5"/>
          </reference>
          <reference field="2" count="1" selected="0">
            <x v="25"/>
          </reference>
          <reference field="3" count="0"/>
          <reference field="4" count="1" selected="0">
            <x v="20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5"/>
          </reference>
          <reference field="2" count="1" selected="0">
            <x v="11"/>
          </reference>
          <reference field="3" count="0"/>
          <reference field="4" count="1" selected="0">
            <x v="3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1"/>
          </reference>
          <reference field="2" count="1" selected="0">
            <x v="24"/>
          </reference>
          <reference field="3" count="0"/>
          <reference field="4" count="1" selected="0">
            <x v="19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1"/>
          </reference>
          <reference field="2" count="1" selected="0">
            <x v="12"/>
          </reference>
          <reference field="3" count="0"/>
          <reference field="4" count="1" selected="0">
            <x v="3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0"/>
          </reference>
          <reference field="2" count="1" selected="0">
            <x v="26"/>
          </reference>
          <reference field="3" count="0"/>
          <reference field="4" count="1" selected="0">
            <x v="21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0"/>
          </reference>
          <reference field="2" count="1" selected="0">
            <x v="12"/>
          </reference>
          <reference field="3" count="0"/>
          <reference field="4" count="1" selected="0">
            <x v="3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3"/>
          </reference>
          <reference field="2" count="1" selected="0">
            <x v="23"/>
          </reference>
          <reference field="3" count="0"/>
          <reference field="4" count="1" selected="0">
            <x v="18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3"/>
          </reference>
          <reference field="2" count="1" selected="0">
            <x v="13"/>
          </reference>
          <reference field="3" count="0"/>
          <reference field="4" count="1" selected="0">
            <x v="3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 selected="0">
            <x v="16"/>
          </reference>
          <reference field="3" count="0"/>
          <reference field="4" count="1" selected="0">
            <x v="3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"/>
          </reference>
          <reference field="2" count="1" selected="0">
            <x v="17"/>
          </reference>
          <reference field="3" count="0"/>
          <reference field="4" count="1" selected="0">
            <x v="15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"/>
          </reference>
          <reference field="2" count="1" selected="0">
            <x v="18"/>
          </reference>
          <reference field="3" count="0"/>
          <reference field="4" count="1" selected="0">
            <x v="3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19"/>
          </reference>
          <reference field="3" count="0"/>
          <reference field="4" count="1" selected="0">
            <x v="3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7"/>
          </reference>
          <reference field="2" count="1" selected="0">
            <x v="20"/>
          </reference>
          <reference field="3" count="0"/>
          <reference field="4" count="1" selected="0">
            <x v="16"/>
          </reference>
        </references>
      </pivotArea>
    </format>
    <format dxfId="1725">
      <pivotArea field="4" type="button" dataOnly="0" labelOnly="1" outline="0" axis="axisRow" fieldPosition="2"/>
    </format>
    <format dxfId="17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4" count="1">
            <x v="31"/>
          </reference>
        </references>
      </pivotArea>
    </format>
    <format dxfId="17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4" count="1">
            <x v="36"/>
          </reference>
        </references>
      </pivotArea>
    </format>
    <format dxfId="17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4" count="1">
            <x v="26"/>
          </reference>
        </references>
      </pivotArea>
    </format>
    <format dxfId="17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4" count="1">
            <x v="29"/>
          </reference>
        </references>
      </pivotArea>
    </format>
    <format dxfId="172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33"/>
          </reference>
        </references>
      </pivotArea>
    </format>
    <format dxfId="17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4" count="1">
            <x v="27"/>
          </reference>
        </references>
      </pivotArea>
    </format>
    <format dxfId="17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4" count="1">
            <x v="27"/>
          </reference>
        </references>
      </pivotArea>
    </format>
    <format dxfId="17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4" count="1">
            <x v="28"/>
          </reference>
        </references>
      </pivotArea>
    </format>
    <format dxfId="171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4" count="1">
            <x v="34"/>
          </reference>
        </references>
      </pivotArea>
    </format>
    <format dxfId="17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4" count="1">
            <x v="30"/>
          </reference>
        </references>
      </pivotArea>
    </format>
    <format dxfId="17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4" count="1">
            <x v="28"/>
          </reference>
        </references>
      </pivotArea>
    </format>
    <format dxfId="171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4" count="1">
            <x v="35"/>
          </reference>
        </references>
      </pivotArea>
    </format>
    <format dxfId="17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4" count="1">
            <x v="27"/>
          </reference>
        </references>
      </pivotArea>
    </format>
    <format dxfId="171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3"/>
          </reference>
          <reference field="4" count="1">
            <x v="35"/>
          </reference>
        </references>
      </pivotArea>
    </format>
    <format dxfId="17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4" count="1">
            <x v="25"/>
          </reference>
        </references>
      </pivotArea>
    </format>
    <format dxfId="17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4" count="1">
            <x v="32"/>
          </reference>
        </references>
      </pivotArea>
    </format>
    <format dxfId="17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"/>
          </reference>
          <reference field="4" count="1">
            <x v="24"/>
          </reference>
        </references>
      </pivotArea>
    </format>
    <format dxfId="17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4" count="1">
            <x v="31"/>
          </reference>
        </references>
      </pivotArea>
    </format>
    <format dxfId="17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4" count="1">
            <x v="36"/>
          </reference>
        </references>
      </pivotArea>
    </format>
    <format dxfId="17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4" count="1">
            <x v="26"/>
          </reference>
        </references>
      </pivotArea>
    </format>
    <format dxfId="17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4" count="1">
            <x v="29"/>
          </reference>
        </references>
      </pivotArea>
    </format>
    <format dxfId="170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33"/>
          </reference>
        </references>
      </pivotArea>
    </format>
    <format dxfId="17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4" count="1">
            <x v="27"/>
          </reference>
        </references>
      </pivotArea>
    </format>
    <format dxfId="17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4" count="1">
            <x v="27"/>
          </reference>
        </references>
      </pivotArea>
    </format>
    <format dxfId="17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4" count="1">
            <x v="28"/>
          </reference>
        </references>
      </pivotArea>
    </format>
    <format dxfId="169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4" count="1">
            <x v="34"/>
          </reference>
        </references>
      </pivotArea>
    </format>
    <format dxfId="16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4" count="1">
            <x v="30"/>
          </reference>
        </references>
      </pivotArea>
    </format>
    <format dxfId="16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4" count="1">
            <x v="28"/>
          </reference>
        </references>
      </pivotArea>
    </format>
    <format dxfId="169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4" count="1">
            <x v="35"/>
          </reference>
        </references>
      </pivotArea>
    </format>
    <format dxfId="16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4" count="1">
            <x v="27"/>
          </reference>
        </references>
      </pivotArea>
    </format>
    <format dxfId="169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3"/>
          </reference>
          <reference field="4" count="1">
            <x v="35"/>
          </reference>
        </references>
      </pivotArea>
    </format>
    <format dxfId="169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4" count="1">
            <x v="25"/>
          </reference>
        </references>
      </pivotArea>
    </format>
    <format dxfId="16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4" count="1">
            <x v="32"/>
          </reference>
        </references>
      </pivotArea>
    </format>
    <format dxfId="16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"/>
          </reference>
          <reference field="4" count="1">
            <x v="24"/>
          </reference>
        </references>
      </pivotArea>
    </format>
    <format dxfId="1690">
      <pivotArea field="4" type="button" dataOnly="0" labelOnly="1" outline="0" axis="axisRow" fieldPosition="2"/>
    </format>
    <format dxfId="168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4" count="1">
            <x v="3"/>
          </reference>
        </references>
      </pivotArea>
    </format>
    <format dxfId="168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4" count="1">
            <x v="71"/>
          </reference>
        </references>
      </pivotArea>
    </format>
    <format dxfId="16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4" count="1">
            <x v="70"/>
          </reference>
        </references>
      </pivotArea>
    </format>
    <format dxfId="16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4" count="1">
            <x v="75"/>
          </reference>
        </references>
      </pivotArea>
    </format>
    <format dxfId="168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4" count="1">
            <x v="3"/>
          </reference>
        </references>
      </pivotArea>
    </format>
    <format dxfId="16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4" count="1">
            <x v="78"/>
          </reference>
        </references>
      </pivotArea>
    </format>
    <format dxfId="168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67"/>
          </reference>
        </references>
      </pivotArea>
    </format>
    <format dxfId="16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4" count="1">
            <x v="76"/>
          </reference>
        </references>
      </pivotArea>
    </format>
    <format dxfId="168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"/>
          </reference>
          <reference field="4" count="1">
            <x v="3"/>
          </reference>
        </references>
      </pivotArea>
    </format>
    <format dxfId="16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4" count="1">
            <x v="76"/>
          </reference>
        </references>
      </pivotArea>
    </format>
    <format dxfId="167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4" count="1">
            <x v="3"/>
          </reference>
        </references>
      </pivotArea>
    </format>
    <format dxfId="16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4" count="1">
            <x v="77"/>
          </reference>
        </references>
      </pivotArea>
    </format>
    <format dxfId="167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4" count="1">
            <x v="12"/>
          </reference>
        </references>
      </pivotArea>
    </format>
    <format dxfId="16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4" count="1">
            <x v="79"/>
          </reference>
        </references>
      </pivotArea>
    </format>
    <format dxfId="167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4" count="1">
            <x v="3"/>
          </reference>
        </references>
      </pivotArea>
    </format>
    <format dxfId="16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4" count="1">
            <x v="77"/>
          </reference>
        </references>
      </pivotArea>
    </format>
    <format dxfId="167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4" count="1">
            <x v="80"/>
          </reference>
        </references>
      </pivotArea>
    </format>
    <format dxfId="16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4" count="1">
            <x v="76"/>
          </reference>
        </references>
      </pivotArea>
    </format>
    <format dxfId="167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3"/>
          </reference>
          <reference field="4" count="1">
            <x v="80"/>
          </reference>
        </references>
      </pivotArea>
    </format>
    <format dxfId="16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4" count="1">
            <x v="73"/>
          </reference>
        </references>
      </pivotArea>
    </format>
    <format dxfId="16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4" count="1">
            <x v="74"/>
          </reference>
        </references>
      </pivotArea>
    </format>
    <format dxfId="16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"/>
          </reference>
          <reference field="4" count="1">
            <x v="72"/>
          </reference>
        </references>
      </pivotArea>
    </format>
    <format dxfId="1667">
      <pivotArea field="4" type="button" dataOnly="0" labelOnly="1" outline="0" axis="axisRow" fieldPosition="2"/>
    </format>
    <format dxfId="16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4" count="1">
            <x v="3"/>
          </reference>
        </references>
      </pivotArea>
    </format>
    <format dxfId="16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4" count="1">
            <x v="71"/>
          </reference>
        </references>
      </pivotArea>
    </format>
    <format dxfId="16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4" count="1">
            <x v="70"/>
          </reference>
        </references>
      </pivotArea>
    </format>
    <format dxfId="16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4" count="1">
            <x v="75"/>
          </reference>
        </references>
      </pivotArea>
    </format>
    <format dxfId="166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4" count="1">
            <x v="3"/>
          </reference>
        </references>
      </pivotArea>
    </format>
    <format dxfId="16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4" count="1">
            <x v="78"/>
          </reference>
        </references>
      </pivotArea>
    </format>
    <format dxfId="166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67"/>
          </reference>
        </references>
      </pivotArea>
    </format>
    <format dxfId="16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4" count="1">
            <x v="76"/>
          </reference>
        </references>
      </pivotArea>
    </format>
    <format dxfId="165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"/>
          </reference>
          <reference field="4" count="1">
            <x v="3"/>
          </reference>
        </references>
      </pivotArea>
    </format>
    <format dxfId="16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4" count="1">
            <x v="76"/>
          </reference>
        </references>
      </pivotArea>
    </format>
    <format dxfId="165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4" count="1">
            <x v="3"/>
          </reference>
        </references>
      </pivotArea>
    </format>
    <format dxfId="16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4" count="1">
            <x v="77"/>
          </reference>
        </references>
      </pivotArea>
    </format>
    <format dxfId="165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4" count="1">
            <x v="12"/>
          </reference>
        </references>
      </pivotArea>
    </format>
    <format dxfId="16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4" count="1">
            <x v="79"/>
          </reference>
        </references>
      </pivotArea>
    </format>
    <format dxfId="165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4" count="1">
            <x v="3"/>
          </reference>
        </references>
      </pivotArea>
    </format>
    <format dxfId="16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4" count="1">
            <x v="77"/>
          </reference>
        </references>
      </pivotArea>
    </format>
    <format dxfId="165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4" count="1">
            <x v="80"/>
          </reference>
        </references>
      </pivotArea>
    </format>
    <format dxfId="16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"/>
          </reference>
          <reference field="4" count="1">
            <x v="76"/>
          </reference>
        </references>
      </pivotArea>
    </format>
    <format dxfId="164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3"/>
          </reference>
          <reference field="4" count="1">
            <x v="80"/>
          </reference>
        </references>
      </pivotArea>
    </format>
    <format dxfId="164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4" count="1">
            <x v="73"/>
          </reference>
        </references>
      </pivotArea>
    </format>
    <format dxfId="164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4" count="1">
            <x v="74"/>
          </reference>
        </references>
      </pivotArea>
    </format>
    <format dxfId="164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"/>
          </reference>
          <reference field="4" count="1">
            <x v="72"/>
          </reference>
        </references>
      </pivotArea>
    </format>
  </formats>
  <pivotTableStyleInfo name="PivotStyleDark4" showRowHeaders="1" showColHeaders="1" showRowStripes="0" showColStripes="0" showLastColumn="1"/>
  <filters count="1"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5D8D1-C4A9-4CE4-B494-2F0FCA42BD73}" name="Tabela dinâmica2" cacheId="65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A10:E30" firstHeaderRow="1" firstDataRow="1" firstDataCol="5"/>
  <pivotFields count="11">
    <pivotField axis="axisRow" compact="0" outline="0" subtotalTop="0" showAll="0" defaultSubtotal="0">
      <items count="98">
        <item x="0"/>
        <item x="77"/>
        <item m="1" x="89"/>
        <item m="1" x="90"/>
        <item m="1" x="91"/>
        <item m="1" x="97"/>
        <item m="1" x="88"/>
        <item m="1" x="92"/>
        <item m="1" x="93"/>
        <item m="1" x="94"/>
        <item m="1" x="95"/>
        <item m="1" x="96"/>
        <item x="1"/>
        <item x="2"/>
        <item x="3"/>
        <item x="4"/>
        <item x="5"/>
        <item x="6"/>
        <item x="16"/>
        <item x="7"/>
        <item x="8"/>
        <item x="9"/>
        <item x="10"/>
        <item x="11"/>
        <item x="12"/>
        <item x="13"/>
        <item x="14"/>
        <item x="15"/>
        <item m="1" x="87"/>
        <item m="1" x="85"/>
        <item m="1" x="86"/>
        <item m="1" x="84"/>
        <item m="1" x="83"/>
        <item m="1" x="82"/>
        <item m="1" x="80"/>
        <item m="1" x="81"/>
        <item m="1" x="79"/>
        <item x="17"/>
        <item x="18"/>
        <item x="19"/>
        <item x="20"/>
        <item sd="0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7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axis="axisRow" compact="0" outline="0" subtotalTop="0" showAll="0" defaultSubtotal="0">
      <items count="20">
        <item x="0"/>
        <item m="1" x="18"/>
        <item x="14"/>
        <item x="6"/>
        <item x="5"/>
        <item m="1" x="19"/>
        <item x="1"/>
        <item x="2"/>
        <item x="3"/>
        <item x="7"/>
        <item m="1" x="16"/>
        <item m="1" x="17"/>
        <item x="4"/>
        <item m="1" x="15"/>
        <item x="8"/>
        <item x="9"/>
        <item x="10"/>
        <item x="11"/>
        <item x="12"/>
        <item x="1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6">
        <item x="2"/>
        <item x="3"/>
        <item x="4"/>
        <item h="1" x="1"/>
        <item x="0"/>
        <item h="1" x="5"/>
      </items>
    </pivotField>
    <pivotField compact="0" outline="0" subtotalTop="0" showAll="0" defaultSubtotal="0"/>
    <pivotField axis="axisRow" compact="0" outline="0" subtotalTop="0" showAll="0" defaultSubtotal="0">
      <items count="80">
        <item x="51"/>
        <item m="1" x="66"/>
        <item m="1" x="64"/>
        <item m="1" x="65"/>
        <item m="1" x="63"/>
        <item m="1" x="62"/>
        <item x="3"/>
        <item x="10"/>
        <item m="1" x="61"/>
        <item m="1" x="60"/>
        <item m="1" x="58"/>
        <item m="1" x="59"/>
        <item m="1" x="57"/>
        <item x="13"/>
        <item m="1" x="56"/>
        <item m="1" x="79"/>
        <item m="1" x="78"/>
        <item m="1" x="77"/>
        <item m="1" x="76"/>
        <item m="1" x="75"/>
        <item m="1" x="70"/>
        <item m="1" x="74"/>
        <item m="1" x="73"/>
        <item m="1" x="72"/>
        <item m="1" x="71"/>
        <item m="1" x="68"/>
        <item m="1" x="69"/>
        <item m="1" x="67"/>
        <item m="1" x="55"/>
        <item m="1" x="54"/>
        <item m="1" x="53"/>
        <item x="15"/>
        <item m="1" x="52"/>
        <item x="9"/>
        <item x="16"/>
        <item x="17"/>
        <item x="18"/>
        <item x="19"/>
        <item x="20"/>
        <item x="21"/>
        <item x="22"/>
        <item x="23"/>
        <item x="24"/>
        <item x="11"/>
        <item x="1"/>
        <item x="25"/>
        <item x="26"/>
        <item x="27"/>
        <item x="4"/>
        <item x="12"/>
        <item x="28"/>
        <item x="29"/>
        <item x="30"/>
        <item x="31"/>
        <item x="32"/>
        <item x="33"/>
        <item x="34"/>
        <item x="35"/>
        <item x="36"/>
        <item x="37"/>
        <item x="38"/>
        <item x="2"/>
        <item x="0"/>
        <item x="39"/>
        <item x="40"/>
        <item x="41"/>
        <item x="42"/>
        <item x="43"/>
        <item x="44"/>
        <item x="5"/>
        <item x="45"/>
        <item x="46"/>
        <item x="47"/>
        <item x="48"/>
        <item x="14"/>
        <item x="49"/>
        <item x="50"/>
        <item x="6"/>
        <item x="7"/>
        <item x="8"/>
      </items>
    </pivotField>
    <pivotField compact="0" outline="0" subtotalTop="0" showAll="0" defaultSubtotal="0">
      <items count="382">
        <item x="43"/>
        <item m="1" x="88"/>
        <item m="1" x="240"/>
        <item m="1" x="363"/>
        <item m="1" x="381"/>
        <item m="1" x="55"/>
        <item m="1" x="343"/>
        <item m="1" x="185"/>
        <item m="1" x="95"/>
        <item x="39"/>
        <item m="1" x="150"/>
        <item m="1" x="280"/>
        <item m="1" x="93"/>
        <item m="1" x="227"/>
        <item x="4"/>
        <item m="1" x="204"/>
        <item m="1" x="122"/>
        <item m="1" x="110"/>
        <item m="1" x="159"/>
        <item m="1" x="316"/>
        <item m="1" x="56"/>
        <item m="1" x="248"/>
        <item m="1" x="218"/>
        <item m="1" x="137"/>
        <item x="18"/>
        <item m="1" x="201"/>
        <item m="1" x="59"/>
        <item m="1" x="225"/>
        <item x="16"/>
        <item m="1" x="191"/>
        <item m="1" x="94"/>
        <item m="1" x="47"/>
        <item m="1" x="219"/>
        <item m="1" x="285"/>
        <item m="1" x="186"/>
        <item m="1" x="148"/>
        <item m="1" x="119"/>
        <item x="3"/>
        <item m="1" x="232"/>
        <item m="1" x="205"/>
        <item x="42"/>
        <item m="1" x="286"/>
        <item m="1" x="279"/>
        <item m="1" x="210"/>
        <item x="9"/>
        <item x="1"/>
        <item m="1" x="62"/>
        <item m="1" x="79"/>
        <item m="1" x="236"/>
        <item m="1" x="162"/>
        <item m="1" x="187"/>
        <item m="1" x="260"/>
        <item m="1" x="273"/>
        <item x="14"/>
        <item m="1" x="195"/>
        <item m="1" x="92"/>
        <item m="1" x="226"/>
        <item m="1" x="283"/>
        <item m="1" x="44"/>
        <item m="1" x="183"/>
        <item m="1" x="192"/>
        <item m="1" x="325"/>
        <item m="1" x="237"/>
        <item m="1" x="266"/>
        <item m="1" x="90"/>
        <item m="1" x="242"/>
        <item m="1" x="60"/>
        <item m="1" x="211"/>
        <item x="17"/>
        <item m="1" x="188"/>
        <item m="1" x="298"/>
        <item m="1" x="105"/>
        <item m="1" x="138"/>
        <item m="1" x="324"/>
        <item m="1" x="108"/>
        <item m="1" x="259"/>
        <item m="1" x="58"/>
        <item m="1" x="224"/>
        <item m="1" x="354"/>
        <item m="1" x="174"/>
        <item m="1" x="140"/>
        <item x="0"/>
        <item m="1" x="72"/>
        <item m="1" x="299"/>
        <item m="1" x="290"/>
        <item m="1" x="163"/>
        <item x="41"/>
        <item m="1" x="111"/>
        <item m="1" x="247"/>
        <item m="1" x="241"/>
        <item m="1" x="172"/>
        <item m="1" x="353"/>
        <item m="1" x="121"/>
        <item m="1" x="282"/>
        <item m="1" x="164"/>
        <item m="1" x="230"/>
        <item m="1" x="109"/>
        <item m="1" x="139"/>
        <item x="11"/>
        <item m="1" x="135"/>
        <item m="1" x="223"/>
        <item m="1" x="151"/>
        <item m="1" x="351"/>
        <item m="1" x="116"/>
        <item m="1" x="244"/>
        <item m="1" x="141"/>
        <item m="1" x="213"/>
        <item m="1" x="78"/>
        <item m="1" x="203"/>
        <item m="1" x="200"/>
        <item m="1" x="89"/>
        <item m="1" x="120"/>
        <item m="1" x="348"/>
        <item m="1" x="152"/>
        <item m="1" x="80"/>
        <item m="1" x="256"/>
        <item m="1" x="112"/>
        <item m="1" x="71"/>
        <item m="1" x="114"/>
        <item m="1" x="231"/>
        <item m="1" x="291"/>
        <item m="1" x="91"/>
        <item m="1" x="347"/>
        <item m="1" x="81"/>
        <item m="1" x="182"/>
        <item m="1" x="77"/>
        <item m="1" x="143"/>
        <item x="36"/>
        <item m="1" x="356"/>
        <item m="1" x="369"/>
        <item m="1" x="146"/>
        <item m="1" x="129"/>
        <item m="1" x="339"/>
        <item m="1" x="238"/>
        <item m="1" x="229"/>
        <item x="40"/>
        <item m="1" x="61"/>
        <item x="34"/>
        <item m="1" x="206"/>
        <item m="1" x="315"/>
        <item m="1" x="344"/>
        <item m="1" x="52"/>
        <item m="1" x="127"/>
        <item m="1" x="304"/>
        <item m="1" x="134"/>
        <item x="38"/>
        <item x="30"/>
        <item m="1" x="214"/>
        <item m="1" x="335"/>
        <item x="32"/>
        <item m="1" x="332"/>
        <item m="1" x="311"/>
        <item m="1" x="360"/>
        <item m="1" x="350"/>
        <item m="1" x="65"/>
        <item m="1" x="289"/>
        <item m="1" x="74"/>
        <item x="24"/>
        <item m="1" x="131"/>
        <item m="1" x="302"/>
        <item m="1" x="268"/>
        <item m="1" x="297"/>
        <item m="1" x="333"/>
        <item m="1" x="97"/>
        <item x="37"/>
        <item m="1" x="132"/>
        <item m="1" x="155"/>
        <item m="1" x="281"/>
        <item m="1" x="277"/>
        <item m="1" x="233"/>
        <item m="1" x="254"/>
        <item m="1" x="194"/>
        <item m="1" x="271"/>
        <item m="1" x="147"/>
        <item m="1" x="64"/>
        <item m="1" x="48"/>
        <item m="1" x="264"/>
        <item m="1" x="193"/>
        <item m="1" x="255"/>
        <item m="1" x="53"/>
        <item m="1" x="181"/>
        <item m="1" x="327"/>
        <item m="1" x="177"/>
        <item m="1" x="118"/>
        <item m="1" x="165"/>
        <item m="1" x="102"/>
        <item m="1" x="158"/>
        <item m="1" x="124"/>
        <item m="1" x="352"/>
        <item m="1" x="171"/>
        <item m="1" x="246"/>
        <item m="1" x="208"/>
        <item m="1" x="263"/>
        <item x="5"/>
        <item x="19"/>
        <item m="1" x="250"/>
        <item x="2"/>
        <item m="1" x="170"/>
        <item m="1" x="101"/>
        <item m="1" x="355"/>
        <item m="1" x="190"/>
        <item x="20"/>
        <item m="1" x="198"/>
        <item m="1" x="216"/>
        <item m="1" x="326"/>
        <item m="1" x="149"/>
        <item m="1" x="67"/>
        <item m="1" x="301"/>
        <item m="1" x="296"/>
        <item m="1" x="142"/>
        <item x="13"/>
        <item m="1" x="156"/>
        <item m="1" x="307"/>
        <item m="1" x="189"/>
        <item x="25"/>
        <item m="1" x="321"/>
        <item m="1" x="239"/>
        <item x="12"/>
        <item m="1" x="68"/>
        <item m="1" x="49"/>
        <item m="1" x="275"/>
        <item m="1" x="362"/>
        <item x="23"/>
        <item m="1" x="336"/>
        <item m="1" x="251"/>
        <item x="6"/>
        <item m="1" x="261"/>
        <item m="1" x="51"/>
        <item m="1" x="57"/>
        <item m="1" x="179"/>
        <item m="1" x="145"/>
        <item m="1" x="378"/>
        <item m="1" x="234"/>
        <item x="29"/>
        <item x="35"/>
        <item m="1" x="330"/>
        <item m="1" x="338"/>
        <item m="1" x="45"/>
        <item m="1" x="379"/>
        <item m="1" x="107"/>
        <item m="1" x="253"/>
        <item m="1" x="337"/>
        <item m="1" x="220"/>
        <item m="1" x="153"/>
        <item m="1" x="98"/>
        <item m="1" x="284"/>
        <item x="26"/>
        <item m="1" x="75"/>
        <item m="1" x="320"/>
        <item m="1" x="168"/>
        <item m="1" x="308"/>
        <item x="8"/>
        <item m="1" x="221"/>
        <item m="1" x="100"/>
        <item m="1" x="215"/>
        <item m="1" x="115"/>
        <item x="21"/>
        <item m="1" x="235"/>
        <item m="1" x="358"/>
        <item m="1" x="312"/>
        <item m="1" x="258"/>
        <item m="1" x="322"/>
        <item m="1" x="167"/>
        <item m="1" x="169"/>
        <item x="7"/>
        <item m="1" x="99"/>
        <item m="1" x="313"/>
        <item m="1" x="144"/>
        <item m="1" x="126"/>
        <item m="1" x="50"/>
        <item m="1" x="359"/>
        <item m="1" x="96"/>
        <item m="1" x="85"/>
        <item m="1" x="130"/>
        <item m="1" x="54"/>
        <item m="1" x="294"/>
        <item m="1" x="212"/>
        <item m="1" x="349"/>
        <item m="1" x="249"/>
        <item m="1" x="317"/>
        <item m="1" x="228"/>
        <item m="1" x="295"/>
        <item x="22"/>
        <item m="1" x="217"/>
        <item m="1" x="361"/>
        <item m="1" x="199"/>
        <item m="1" x="46"/>
        <item m="1" x="196"/>
        <item m="1" x="252"/>
        <item m="1" x="176"/>
        <item x="31"/>
        <item m="1" x="160"/>
        <item m="1" x="303"/>
        <item m="1" x="157"/>
        <item x="15"/>
        <item m="1" x="300"/>
        <item m="1" x="329"/>
        <item m="1" x="175"/>
        <item m="1" x="117"/>
        <item m="1" x="133"/>
        <item m="1" x="345"/>
        <item m="1" x="341"/>
        <item m="1" x="82"/>
        <item x="28"/>
        <item m="1" x="154"/>
        <item m="1" x="334"/>
        <item x="27"/>
        <item m="1" x="123"/>
        <item m="1" x="202"/>
        <item m="1" x="323"/>
        <item m="1" x="128"/>
        <item m="1" x="73"/>
        <item m="1" x="319"/>
        <item m="1" x="69"/>
        <item m="1" x="287"/>
        <item m="1" x="104"/>
        <item m="1" x="342"/>
        <item x="33"/>
        <item m="1" x="318"/>
        <item m="1" x="136"/>
        <item m="1" x="86"/>
        <item m="1" x="293"/>
        <item m="1" x="267"/>
        <item m="1" x="83"/>
        <item m="1" x="180"/>
        <item m="1" x="197"/>
        <item m="1" x="113"/>
        <item m="1" x="346"/>
        <item m="1" x="305"/>
        <item m="1" x="328"/>
        <item m="1" x="292"/>
        <item m="1" x="66"/>
        <item m="1" x="70"/>
        <item m="1" x="265"/>
        <item m="1" x="245"/>
        <item m="1" x="340"/>
        <item m="1" x="178"/>
        <item m="1" x="166"/>
        <item m="1" x="310"/>
        <item m="1" x="288"/>
        <item m="1" x="84"/>
        <item m="1" x="173"/>
        <item m="1" x="278"/>
        <item m="1" x="276"/>
        <item m="1" x="269"/>
        <item m="1" x="209"/>
        <item m="1" x="262"/>
        <item m="1" x="357"/>
        <item m="1" x="257"/>
        <item m="1" x="309"/>
        <item m="1" x="222"/>
        <item m="1" x="125"/>
        <item m="1" x="270"/>
        <item m="1" x="274"/>
        <item m="1" x="63"/>
        <item m="1" x="87"/>
        <item m="1" x="184"/>
        <item m="1" x="272"/>
        <item m="1" x="106"/>
        <item m="1" x="76"/>
        <item m="1" x="314"/>
        <item m="1" x="103"/>
        <item m="1" x="306"/>
        <item m="1" x="207"/>
        <item m="1" x="380"/>
        <item m="1" x="331"/>
        <item m="1" x="243"/>
        <item m="1" x="161"/>
        <item x="10"/>
        <item m="1" x="377"/>
        <item m="1" x="376"/>
        <item m="1" x="375"/>
        <item m="1" x="373"/>
        <item m="1" x="374"/>
        <item m="1" x="372"/>
        <item m="1" x="371"/>
        <item m="1" x="370"/>
        <item m="1" x="368"/>
        <item m="1" x="366"/>
        <item m="1" x="367"/>
        <item m="1" x="364"/>
        <item m="1" x="365"/>
      </items>
    </pivotField>
    <pivotField axis="axisRow" compact="0" outline="0" subtotalTop="0" showAll="0" defaultSubtotal="0">
      <items count="7">
        <item x="2"/>
        <item x="0"/>
        <item m="1" x="3"/>
        <item m="1" x="4"/>
        <item x="1"/>
        <item m="1" x="5"/>
        <item m="1" x="6"/>
      </items>
    </pivotField>
    <pivotField axis="axisRow" compact="0" outline="0" subtotalTop="0" showAll="0" defaultSubtotal="0">
      <items count="145">
        <item x="5"/>
        <item m="1" x="143"/>
        <item m="1" x="142"/>
        <item x="0"/>
        <item m="1" x="21"/>
        <item m="1" x="144"/>
        <item x="1"/>
        <item x="2"/>
        <item m="1" x="141"/>
        <item m="1" x="137"/>
        <item m="1" x="140"/>
        <item m="1" x="139"/>
        <item m="1" x="138"/>
        <item m="1" x="116"/>
        <item m="1" x="11"/>
        <item m="1" x="30"/>
        <item m="1" x="38"/>
        <item m="1" x="28"/>
        <item m="1" x="7"/>
        <item m="1" x="84"/>
        <item m="1" x="33"/>
        <item m="1" x="106"/>
        <item m="1" x="25"/>
        <item m="1" x="136"/>
        <item m="1" x="8"/>
        <item m="1" x="12"/>
        <item m="1" x="51"/>
        <item m="1" x="101"/>
        <item m="1" x="109"/>
        <item m="1" x="17"/>
        <item m="1" x="103"/>
        <item m="1" x="113"/>
        <item m="1" x="20"/>
        <item m="1" x="16"/>
        <item m="1" x="96"/>
        <item m="1" x="27"/>
        <item m="1" x="65"/>
        <item m="1" x="62"/>
        <item m="1" x="83"/>
        <item m="1" x="59"/>
        <item m="1" x="57"/>
        <item m="1" x="85"/>
        <item m="1" x="66"/>
        <item m="1" x="76"/>
        <item m="1" x="50"/>
        <item m="1" x="61"/>
        <item m="1" x="63"/>
        <item m="1" x="72"/>
        <item m="1" x="45"/>
        <item m="1" x="68"/>
        <item m="1" x="86"/>
        <item m="1" x="55"/>
        <item m="1" x="58"/>
        <item m="1" x="52"/>
        <item m="1" x="56"/>
        <item m="1" x="43"/>
        <item m="1" x="54"/>
        <item m="1" x="40"/>
        <item m="1" x="24"/>
        <item m="1" x="41"/>
        <item m="1" x="47"/>
        <item m="1" x="49"/>
        <item m="1" x="37"/>
        <item m="1" x="39"/>
        <item m="1" x="31"/>
        <item m="1" x="44"/>
        <item m="1" x="60"/>
        <item m="1" x="64"/>
        <item m="1" x="48"/>
        <item x="4"/>
        <item m="1" x="32"/>
        <item m="1" x="36"/>
        <item m="1" x="29"/>
        <item m="1" x="46"/>
        <item m="1" x="35"/>
        <item m="1" x="19"/>
        <item m="1" x="42"/>
        <item m="1" x="15"/>
        <item m="1" x="9"/>
        <item m="1" x="53"/>
        <item m="1" x="23"/>
        <item m="1" x="14"/>
        <item m="1" x="34"/>
        <item m="1" x="10"/>
        <item m="1" x="18"/>
        <item m="1" x="13"/>
        <item m="1" x="26"/>
        <item m="1" x="120"/>
        <item m="1" x="111"/>
        <item m="1" x="110"/>
        <item m="1" x="114"/>
        <item m="1" x="108"/>
        <item m="1" x="112"/>
        <item m="1" x="78"/>
        <item m="1" x="107"/>
        <item m="1" x="71"/>
        <item m="1" x="77"/>
        <item m="1" x="95"/>
        <item m="1" x="74"/>
        <item m="1" x="92"/>
        <item m="1" x="97"/>
        <item m="1" x="67"/>
        <item m="1" x="70"/>
        <item m="1" x="90"/>
        <item m="1" x="89"/>
        <item m="1" x="105"/>
        <item m="1" x="104"/>
        <item m="1" x="102"/>
        <item m="1" x="69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17"/>
        <item m="1" x="119"/>
        <item m="1" x="87"/>
        <item m="1" x="122"/>
        <item m="1" x="80"/>
        <item m="1" x="22"/>
        <item m="1" x="79"/>
        <item m="1" x="75"/>
        <item m="1" x="125"/>
        <item m="1" x="121"/>
        <item m="1" x="124"/>
        <item m="1" x="126"/>
        <item x="3"/>
        <item m="1" x="123"/>
        <item m="1" x="99"/>
        <item m="1" x="98"/>
        <item m="1" x="118"/>
        <item m="1" x="115"/>
        <item m="1" x="82"/>
        <item m="1" x="81"/>
        <item m="1" x="73"/>
        <item m="1" x="100"/>
        <item m="1" x="91"/>
        <item m="1" x="94"/>
        <item m="1" x="93"/>
        <item m="1" x="88"/>
        <item m="1" x="6"/>
      </items>
    </pivotField>
  </pivotFields>
  <rowFields count="5">
    <field x="0"/>
    <field x="1"/>
    <field x="10"/>
    <field x="7"/>
    <field x="9"/>
  </rowFields>
  <rowItems count="20">
    <i>
      <x/>
      <x/>
      <x v="3"/>
      <x v="62"/>
      <x v="1"/>
    </i>
    <i>
      <x v="12"/>
      <x v="6"/>
      <x v="3"/>
      <x v="44"/>
      <x v="1"/>
    </i>
    <i>
      <x v="13"/>
      <x v="7"/>
      <x v="3"/>
      <x v="44"/>
      <x v="1"/>
    </i>
    <i>
      <x v="14"/>
      <x v="8"/>
      <x v="3"/>
      <x v="61"/>
      <x v="1"/>
    </i>
    <i>
      <x v="16"/>
      <x v="6"/>
      <x v="3"/>
      <x v="48"/>
      <x v="1"/>
    </i>
    <i>
      <x v="18"/>
      <x v="8"/>
      <x v="3"/>
      <x v="74"/>
      <x v="1"/>
    </i>
    <i>
      <x v="19"/>
      <x v="12"/>
      <x v="3"/>
      <x v="77"/>
      <x v="1"/>
    </i>
    <i>
      <x v="20"/>
      <x v="4"/>
      <x v="3"/>
      <x v="78"/>
      <x v="1"/>
    </i>
    <i>
      <x v="21"/>
      <x v="3"/>
      <x v="3"/>
      <x v="79"/>
      <x v="1"/>
    </i>
    <i>
      <x v="23"/>
      <x v="3"/>
      <x v="3"/>
      <x v="61"/>
      <x v="1"/>
    </i>
    <i>
      <x v="26"/>
      <x v="8"/>
      <x v="3"/>
      <x v="49"/>
      <x v="1"/>
    </i>
    <i>
      <x v="43"/>
      <x v="14"/>
      <x v="3"/>
      <x v="79"/>
      <x v="1"/>
    </i>
    <i>
      <x v="46"/>
      <x v="14"/>
      <x v="3"/>
      <x v="38"/>
      <x v="1"/>
    </i>
    <i>
      <x v="62"/>
      <x v="12"/>
      <x v="3"/>
      <x v="47"/>
      <x v="1"/>
    </i>
    <i>
      <x v="63"/>
      <x v="17"/>
      <x v="3"/>
      <x v="50"/>
      <x v="1"/>
    </i>
    <i>
      <x v="67"/>
      <x v="14"/>
      <x v="3"/>
      <x v="54"/>
      <x v="1"/>
    </i>
    <i>
      <x v="73"/>
      <x v="9"/>
      <x v="7"/>
      <x v="58"/>
      <x v="1"/>
    </i>
    <i>
      <x v="74"/>
      <x v="9"/>
      <x v="3"/>
      <x v="59"/>
      <x v="1"/>
    </i>
    <i>
      <x v="91"/>
      <x v="3"/>
      <x v="130"/>
      <x v="68"/>
      <x v="1"/>
    </i>
    <i>
      <x v="96"/>
      <x v="7"/>
      <x v="69"/>
      <x v="73"/>
      <x v="1"/>
    </i>
  </rowItems>
  <colItems count="1">
    <i/>
  </colItems>
  <formats count="145">
    <format dxfId="1991">
      <pivotArea type="all" dataOnly="0" outline="0" fieldPosition="0"/>
    </format>
    <format dxfId="1990">
      <pivotArea field="0" type="button" dataOnly="0" labelOnly="1" outline="0" axis="axisRow" fieldPosition="0"/>
    </format>
    <format dxfId="1989">
      <pivotArea field="1" type="button" dataOnly="0" labelOnly="1" outline="0" axis="axisRow" fieldPosition="1"/>
    </format>
    <format dxfId="1988">
      <pivotArea field="10" type="button" dataOnly="0" labelOnly="1" outline="0" axis="axisRow" fieldPosition="2"/>
    </format>
    <format dxfId="1987">
      <pivotArea field="8" type="button" dataOnly="0" labelOnly="1" outline="0"/>
    </format>
    <format dxfId="1986">
      <pivotArea dataOnly="0" labelOnly="1" outline="0" fieldPosition="0">
        <references count="1">
          <reference field="0" count="7">
            <x v="2"/>
            <x v="3"/>
            <x v="4"/>
            <x v="6"/>
            <x v="7"/>
            <x v="8"/>
            <x v="9"/>
          </reference>
        </references>
      </pivotArea>
    </format>
    <format dxfId="1985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984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983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982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981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198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0" count="1">
            <x v="3"/>
          </reference>
        </references>
      </pivotArea>
    </format>
    <format dxfId="197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10" count="1">
            <x v="2"/>
          </reference>
        </references>
      </pivotArea>
    </format>
    <format dxfId="19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10" count="1">
            <x v="4"/>
          </reference>
        </references>
      </pivotArea>
    </format>
    <format dxfId="197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10" count="1">
            <x v="1"/>
          </reference>
        </references>
      </pivotArea>
    </format>
    <format dxfId="197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10" count="1">
            <x v="5"/>
          </reference>
        </references>
      </pivotArea>
    </format>
    <format dxfId="1975">
      <pivotArea field="0" type="button" dataOnly="0" labelOnly="1" outline="0" axis="axisRow" fieldPosition="0"/>
    </format>
    <format dxfId="1974">
      <pivotArea field="1" type="button" dataOnly="0" labelOnly="1" outline="0" axis="axisRow" fieldPosition="1"/>
    </format>
    <format dxfId="1973">
      <pivotArea field="10" type="button" dataOnly="0" labelOnly="1" outline="0" axis="axisRow" fieldPosition="2"/>
    </format>
    <format dxfId="1972">
      <pivotArea field="8" type="button" dataOnly="0" labelOnly="1" outline="0"/>
    </format>
    <format dxfId="1971">
      <pivotArea field="0" type="button" dataOnly="0" labelOnly="1" outline="0" axis="axisRow" fieldPosition="0"/>
    </format>
    <format dxfId="1970">
      <pivotArea field="1" type="button" dataOnly="0" labelOnly="1" outline="0" axis="axisRow" fieldPosition="1"/>
    </format>
    <format dxfId="1969">
      <pivotArea field="10" type="button" dataOnly="0" labelOnly="1" outline="0" axis="axisRow" fieldPosition="2"/>
    </format>
    <format dxfId="1968">
      <pivotArea field="8" type="button" dataOnly="0" labelOnly="1" outline="0"/>
    </format>
    <format dxfId="1967">
      <pivotArea type="all" dataOnly="0" outline="0" fieldPosition="0"/>
    </format>
    <format dxfId="1966">
      <pivotArea field="0" type="button" dataOnly="0" labelOnly="1" outline="0" axis="axisRow" fieldPosition="0"/>
    </format>
    <format dxfId="1965">
      <pivotArea field="1" type="button" dataOnly="0" labelOnly="1" outline="0" axis="axisRow" fieldPosition="1"/>
    </format>
    <format dxfId="1964">
      <pivotArea field="10" type="button" dataOnly="0" labelOnly="1" outline="0" axis="axisRow" fieldPosition="2"/>
    </format>
    <format dxfId="1963">
      <pivotArea field="8" type="button" dataOnly="0" labelOnly="1" outline="0"/>
    </format>
    <format dxfId="1962">
      <pivotArea dataOnly="0" labelOnly="1" outline="0" fieldPosition="0">
        <references count="1">
          <reference field="0" count="7">
            <x v="2"/>
            <x v="3"/>
            <x v="4"/>
            <x v="6"/>
            <x v="7"/>
            <x v="8"/>
            <x v="9"/>
          </reference>
        </references>
      </pivotArea>
    </format>
    <format dxfId="1961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960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959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958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957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195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0" count="1">
            <x v="3"/>
          </reference>
        </references>
      </pivotArea>
    </format>
    <format dxfId="195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10" count="1">
            <x v="2"/>
          </reference>
        </references>
      </pivotArea>
    </format>
    <format dxfId="19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10" count="1">
            <x v="4"/>
          </reference>
        </references>
      </pivotArea>
    </format>
    <format dxfId="195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10" count="1">
            <x v="1"/>
          </reference>
        </references>
      </pivotArea>
    </format>
    <format dxfId="1952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10" count="1">
            <x v="5"/>
          </reference>
        </references>
      </pivotArea>
    </format>
    <format dxfId="1951">
      <pivotArea type="all" dataOnly="0" outline="0" fieldPosition="0"/>
    </format>
    <format dxfId="1950">
      <pivotArea field="0" type="button" dataOnly="0" labelOnly="1" outline="0" axis="axisRow" fieldPosition="0"/>
    </format>
    <format dxfId="1949">
      <pivotArea field="1" type="button" dataOnly="0" labelOnly="1" outline="0" axis="axisRow" fieldPosition="1"/>
    </format>
    <format dxfId="1948">
      <pivotArea field="10" type="button" dataOnly="0" labelOnly="1" outline="0" axis="axisRow" fieldPosition="2"/>
    </format>
    <format dxfId="1947">
      <pivotArea field="8" type="button" dataOnly="0" labelOnly="1" outline="0"/>
    </format>
    <format dxfId="1946">
      <pivotArea dataOnly="0" labelOnly="1" outline="0" fieldPosition="0">
        <references count="1">
          <reference field="0" count="7">
            <x v="2"/>
            <x v="3"/>
            <x v="4"/>
            <x v="6"/>
            <x v="7"/>
            <x v="8"/>
            <x v="9"/>
          </reference>
        </references>
      </pivotArea>
    </format>
    <format dxfId="1945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944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943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942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941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194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0" count="1">
            <x v="3"/>
          </reference>
        </references>
      </pivotArea>
    </format>
    <format dxfId="193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10" count="1">
            <x v="2"/>
          </reference>
        </references>
      </pivotArea>
    </format>
    <format dxfId="19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10" count="1">
            <x v="4"/>
          </reference>
        </references>
      </pivotArea>
    </format>
    <format dxfId="193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10" count="1">
            <x v="1"/>
          </reference>
        </references>
      </pivotArea>
    </format>
    <format dxfId="193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10" count="1">
            <x v="5"/>
          </reference>
        </references>
      </pivotArea>
    </format>
    <format dxfId="1935">
      <pivotArea type="all" dataOnly="0" outline="0" fieldPosition="0"/>
    </format>
    <format dxfId="1934">
      <pivotArea field="0" type="button" dataOnly="0" labelOnly="1" outline="0" axis="axisRow" fieldPosition="0"/>
    </format>
    <format dxfId="1933">
      <pivotArea field="1" type="button" dataOnly="0" labelOnly="1" outline="0" axis="axisRow" fieldPosition="1"/>
    </format>
    <format dxfId="1932">
      <pivotArea field="10" type="button" dataOnly="0" labelOnly="1" outline="0" axis="axisRow" fieldPosition="2"/>
    </format>
    <format dxfId="1931">
      <pivotArea field="8" type="button" dataOnly="0" labelOnly="1" outline="0"/>
    </format>
    <format dxfId="1930">
      <pivotArea dataOnly="0" labelOnly="1" outline="0" fieldPosition="0">
        <references count="1">
          <reference field="0" count="7">
            <x v="2"/>
            <x v="3"/>
            <x v="4"/>
            <x v="6"/>
            <x v="7"/>
            <x v="8"/>
            <x v="9"/>
          </reference>
        </references>
      </pivotArea>
    </format>
    <format dxfId="1929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928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927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1926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925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192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10" count="1">
            <x v="3"/>
          </reference>
        </references>
      </pivotArea>
    </format>
    <format dxfId="192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10" count="1">
            <x v="2"/>
          </reference>
        </references>
      </pivotArea>
    </format>
    <format dxfId="192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10" count="1">
            <x v="4"/>
          </reference>
        </references>
      </pivotArea>
    </format>
    <format dxfId="192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10" count="1">
            <x v="1"/>
          </reference>
        </references>
      </pivotArea>
    </format>
    <format dxfId="192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10" count="1">
            <x v="5"/>
          </reference>
        </references>
      </pivotArea>
    </format>
    <format dxfId="1919">
      <pivotArea field="0" type="button" dataOnly="0" labelOnly="1" outline="0" axis="axisRow" fieldPosition="0"/>
    </format>
    <format dxfId="1918">
      <pivotArea field="1" type="button" dataOnly="0" labelOnly="1" outline="0" axis="axisRow" fieldPosition="1"/>
    </format>
    <format dxfId="1917">
      <pivotArea field="10" type="button" dataOnly="0" labelOnly="1" outline="0" axis="axisRow" fieldPosition="2"/>
    </format>
    <format dxfId="1916">
      <pivotArea field="8" type="button" dataOnly="0" labelOnly="1" outline="0"/>
    </format>
    <format dxfId="1915">
      <pivotArea field="0" type="button" dataOnly="0" labelOnly="1" outline="0" axis="axisRow" fieldPosition="0"/>
    </format>
    <format dxfId="1914">
      <pivotArea field="1" type="button" dataOnly="0" labelOnly="1" outline="0" axis="axisRow" fieldPosition="1"/>
    </format>
    <format dxfId="1913">
      <pivotArea field="10" type="button" dataOnly="0" labelOnly="1" outline="0" axis="axisRow" fieldPosition="2"/>
    </format>
    <format dxfId="1912">
      <pivotArea field="8" type="button" dataOnly="0" labelOnly="1" outline="0"/>
    </format>
    <format dxfId="1911">
      <pivotArea field="0" type="button" dataOnly="0" labelOnly="1" outline="0" axis="axisRow" fieldPosition="0"/>
    </format>
    <format dxfId="1910">
      <pivotArea field="1" type="button" dataOnly="0" labelOnly="1" outline="0" axis="axisRow" fieldPosition="1"/>
    </format>
    <format dxfId="1909">
      <pivotArea field="10" type="button" dataOnly="0" labelOnly="1" outline="0" axis="axisRow" fieldPosition="2"/>
    </format>
    <format dxfId="1908">
      <pivotArea field="8" type="button" dataOnly="0" labelOnly="1" outline="0"/>
    </format>
    <format dxfId="1907">
      <pivotArea field="9" type="button" dataOnly="0" labelOnly="1" outline="0" axis="axisRow" fieldPosition="4"/>
    </format>
    <format dxfId="1906">
      <pivotArea field="7" type="button" dataOnly="0" labelOnly="1" outline="0" axis="axisRow" fieldPosition="3"/>
    </format>
    <format dxfId="1905">
      <pivotArea type="all" dataOnly="0" outline="0" fieldPosition="0"/>
    </format>
    <format dxfId="1904">
      <pivotArea field="0" type="button" dataOnly="0" labelOnly="1" outline="0" axis="axisRow" fieldPosition="0"/>
    </format>
    <format dxfId="1903">
      <pivotArea field="1" type="button" dataOnly="0" labelOnly="1" outline="0" axis="axisRow" fieldPosition="1"/>
    </format>
    <format dxfId="1902">
      <pivotArea field="10" type="button" dataOnly="0" labelOnly="1" outline="0" axis="axisRow" fieldPosition="2"/>
    </format>
    <format dxfId="1901">
      <pivotArea field="9" type="button" dataOnly="0" labelOnly="1" outline="0" axis="axisRow" fieldPosition="4"/>
    </format>
    <format dxfId="1900">
      <pivotArea field="7" type="button" dataOnly="0" labelOnly="1" outline="0" axis="axisRow" fieldPosition="3"/>
    </format>
    <format dxfId="1899">
      <pivotArea dataOnly="0" labelOnly="1" outline="0" fieldPosition="0">
        <references count="1">
          <reference field="0" count="17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898">
      <pivotArea dataOnly="0" labelOnly="1" outline="0" fieldPosition="0">
        <references count="2">
          <reference field="0" count="1" selected="0">
            <x v="12"/>
          </reference>
          <reference field="1" count="1">
            <x v="6"/>
          </reference>
        </references>
      </pivotArea>
    </format>
    <format dxfId="1897">
      <pivotArea dataOnly="0" labelOnly="1" outline="0" fieldPosition="0">
        <references count="2">
          <reference field="0" count="1" selected="0">
            <x v="13"/>
          </reference>
          <reference field="1" count="1">
            <x v="7"/>
          </reference>
        </references>
      </pivotArea>
    </format>
    <format dxfId="1896">
      <pivotArea dataOnly="0" labelOnly="1" outline="0" fieldPosition="0">
        <references count="2">
          <reference field="0" count="1" selected="0">
            <x v="14"/>
          </reference>
          <reference field="1" count="1">
            <x v="8"/>
          </reference>
        </references>
      </pivotArea>
    </format>
    <format dxfId="1895">
      <pivotArea dataOnly="0" labelOnly="1" outline="0" fieldPosition="0">
        <references count="2">
          <reference field="0" count="1" selected="0">
            <x v="16"/>
          </reference>
          <reference field="1" count="1">
            <x v="9"/>
          </reference>
        </references>
      </pivotArea>
    </format>
    <format dxfId="1894">
      <pivotArea dataOnly="0" labelOnly="1" outline="0" fieldPosition="0">
        <references count="2">
          <reference field="0" count="1" selected="0">
            <x v="17"/>
          </reference>
          <reference field="1" count="1">
            <x v="8"/>
          </reference>
        </references>
      </pivotArea>
    </format>
    <format dxfId="1893">
      <pivotArea dataOnly="0" labelOnly="1" outline="0" fieldPosition="0">
        <references count="2">
          <reference field="0" count="1" selected="0">
            <x v="18"/>
          </reference>
          <reference field="1" count="1">
            <x v="10"/>
          </reference>
        </references>
      </pivotArea>
    </format>
    <format dxfId="1892">
      <pivotArea dataOnly="0" labelOnly="1" outline="0" fieldPosition="0">
        <references count="2">
          <reference field="0" count="1" selected="0">
            <x v="19"/>
          </reference>
          <reference field="1" count="1">
            <x v="12"/>
          </reference>
        </references>
      </pivotArea>
    </format>
    <format dxfId="1891">
      <pivotArea dataOnly="0" labelOnly="1" outline="0" fieldPosition="0">
        <references count="2">
          <reference field="0" count="1" selected="0">
            <x v="20"/>
          </reference>
          <reference field="1" count="1">
            <x v="4"/>
          </reference>
        </references>
      </pivotArea>
    </format>
    <format dxfId="1890">
      <pivotArea dataOnly="0" labelOnly="1" outline="0" fieldPosition="0">
        <references count="2">
          <reference field="0" count="1" selected="0">
            <x v="21"/>
          </reference>
          <reference field="1" count="1">
            <x v="3"/>
          </reference>
        </references>
      </pivotArea>
    </format>
    <format dxfId="1889">
      <pivotArea dataOnly="0" labelOnly="1" outline="0" fieldPosition="0">
        <references count="2">
          <reference field="0" count="1" selected="0">
            <x v="24"/>
          </reference>
          <reference field="1" count="1">
            <x v="9"/>
          </reference>
        </references>
      </pivotArea>
    </format>
    <format dxfId="1888">
      <pivotArea dataOnly="0" labelOnly="1" outline="0" fieldPosition="0">
        <references count="2">
          <reference field="0" count="1" selected="0">
            <x v="26"/>
          </reference>
          <reference field="1" count="1">
            <x v="8"/>
          </reference>
        </references>
      </pivotArea>
    </format>
    <format dxfId="1887">
      <pivotArea dataOnly="0" labelOnly="1" outline="0" fieldPosition="0">
        <references count="2">
          <reference field="0" count="1" selected="0">
            <x v="27"/>
          </reference>
          <reference field="1" count="1">
            <x v="9"/>
          </reference>
        </references>
      </pivotArea>
    </format>
    <format dxfId="1886">
      <pivotArea dataOnly="0" labelOnly="1" outline="0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188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6"/>
          </reference>
          <reference field="10" count="1">
            <x v="3"/>
          </reference>
        </references>
      </pivotArea>
    </format>
    <format dxfId="188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9"/>
          </reference>
          <reference field="10" count="1">
            <x v="7"/>
          </reference>
        </references>
      </pivotArea>
    </format>
    <format dxfId="1883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8"/>
          </reference>
          <reference field="10" count="1">
            <x v="3"/>
          </reference>
        </references>
      </pivotArea>
    </format>
    <format dxfId="188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9"/>
          </reference>
          <reference field="10" count="1">
            <x v="7"/>
          </reference>
        </references>
      </pivotArea>
    </format>
    <format dxfId="1881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9"/>
          </reference>
          <reference field="10" count="1">
            <x v="3"/>
          </reference>
        </references>
      </pivotArea>
    </format>
    <format dxfId="1880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9"/>
          </reference>
          <reference field="10" count="1">
            <x v="8"/>
          </reference>
        </references>
      </pivotArea>
    </format>
    <format dxfId="1879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3"/>
          </reference>
          <reference field="10" count="1">
            <x v="9"/>
          </reference>
        </references>
      </pivotArea>
    </format>
    <format dxfId="1878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6"/>
          </reference>
          <reference field="9" count="1">
            <x v="1"/>
          </reference>
          <reference field="10" count="1" selected="0">
            <x v="3"/>
          </reference>
        </references>
      </pivotArea>
    </format>
    <format dxfId="1877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3"/>
          </reference>
          <reference field="9" count="1">
            <x v="2"/>
          </reference>
          <reference field="10" count="1" selected="0">
            <x v="9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6"/>
          </reference>
          <reference field="7" count="1">
            <x v="9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7"/>
          </reference>
          <reference field="7" count="1">
            <x v="9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8"/>
          </reference>
          <reference field="7" count="1">
            <x v="12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8"/>
          </reference>
          <reference field="7" count="1">
            <x v="6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9"/>
          </reference>
          <reference field="7" count="1">
            <x v="11"/>
          </reference>
          <reference field="9" count="1" selected="0">
            <x v="1"/>
          </reference>
          <reference field="10" count="1" selected="0">
            <x v="7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8"/>
          </reference>
          <reference field="7" count="1">
            <x v="1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10"/>
          </reference>
          <reference field="7" count="1">
            <x v="2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12"/>
          </reference>
          <reference field="7" count="1">
            <x v="3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4"/>
          </reference>
          <reference field="7" count="1">
            <x v="4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3"/>
          </reference>
          <reference field="7" count="1">
            <x v="5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3"/>
          </reference>
          <reference field="7" count="1">
            <x v="6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3"/>
          </reference>
          <reference field="7" count="1">
            <x v="14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9"/>
          </reference>
          <reference field="7" count="1">
            <x v="7"/>
          </reference>
          <reference field="9" count="1" selected="0">
            <x v="1"/>
          </reference>
          <reference field="10" count="1" selected="0">
            <x v="7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9"/>
          </reference>
          <reference field="7" count="1">
            <x v="8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8"/>
          </reference>
          <reference field="7" count="1">
            <x v="10"/>
          </reference>
          <reference field="9" count="1" selected="0">
            <x v="1"/>
          </reference>
          <reference field="10" count="1" selected="0">
            <x v="3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9"/>
          </reference>
          <reference field="7" count="1">
            <x v="13"/>
          </reference>
          <reference field="9" count="1" selected="0">
            <x v="1"/>
          </reference>
          <reference field="10" count="1" selected="0">
            <x v="8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3"/>
          </reference>
          <reference field="7" count="1">
            <x v="17"/>
          </reference>
          <reference field="9" count="1" selected="0">
            <x v="2"/>
          </reference>
          <reference field="10" count="1" selected="0">
            <x v="9"/>
          </reference>
        </references>
      </pivotArea>
    </format>
    <format dxfId="1859">
      <pivotArea field="9" type="button" dataOnly="0" labelOnly="1" outline="0" axis="axisRow" fieldPosition="4"/>
    </format>
    <format dxfId="1858">
      <pivotArea field="7" type="button" dataOnly="0" labelOnly="1" outline="0" axis="axisRow" fieldPosition="3"/>
    </format>
    <format dxfId="1857">
      <pivotArea dataOnly="0" labelOnly="1" outline="0" fieldPosition="0">
        <references count="1">
          <reference field="7" count="0"/>
        </references>
      </pivotArea>
    </format>
    <format dxfId="1856">
      <pivotArea field="9" type="button" dataOnly="0" labelOnly="1" outline="0" axis="axisRow" fieldPosition="4"/>
    </format>
    <format dxfId="1855">
      <pivotArea field="7" type="button" dataOnly="0" labelOnly="1" outline="0" axis="axisRow" fieldPosition="3"/>
    </format>
    <format dxfId="1854">
      <pivotArea field="0" type="button" dataOnly="0" labelOnly="1" outline="0" axis="axisRow" fieldPosition="0"/>
    </format>
    <format dxfId="1853">
      <pivotArea field="1" type="button" dataOnly="0" labelOnly="1" outline="0" axis="axisRow" fieldPosition="1"/>
    </format>
    <format dxfId="1852">
      <pivotArea field="10" type="button" dataOnly="0" labelOnly="1" outline="0" axis="axisRow" fieldPosition="2"/>
    </format>
    <format dxfId="1851">
      <pivotArea dataOnly="0" labelOnly="1" outline="0" fieldPosition="0">
        <references count="1">
          <reference field="0" count="1">
            <x v="42"/>
          </reference>
        </references>
      </pivotArea>
    </format>
    <format dxfId="1850">
      <pivotArea dataOnly="0" labelOnly="1" outline="0" fieldPosition="0">
        <references count="1">
          <reference field="0" count="1">
            <x v="47"/>
          </reference>
        </references>
      </pivotArea>
    </format>
    <format dxfId="1849">
      <pivotArea dataOnly="0" labelOnly="1" outline="0" fieldPosition="0">
        <references count="1">
          <reference field="0" count="1">
            <x v="71"/>
          </reference>
        </references>
      </pivotArea>
    </format>
    <format dxfId="1848">
      <pivotArea dataOnly="0" labelOnly="1" outline="0" fieldPosition="0">
        <references count="1">
          <reference field="0" count="1">
            <x v="69"/>
          </reference>
        </references>
      </pivotArea>
    </format>
    <format dxfId="1847">
      <pivotArea dataOnly="0" labelOnly="1" outline="0" fieldPosition="0">
        <references count="1">
          <reference field="0" count="1">
            <x v="72"/>
          </reference>
        </references>
      </pivotArea>
    </format>
  </formats>
  <pivotTableStyleInfo name="PivotStyleMedium4" showRowHeaders="0" showColHeaders="1" showRowStripes="1" showColStripes="1" showLastColumn="1"/>
  <filters count="1">
    <filter fld="0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COLABORADOR" xr10:uid="{227CD79F-0C4A-4BB2-9A66-D678C185A259}" sourceName="STATUS COLABORADOR">
  <pivotTables>
    <pivotTable tabId="4" name="Tabela dinâmica2"/>
  </pivotTables>
  <data>
    <tabular pivotCacheId="1982852701">
      <items count="6">
        <i x="2" s="1"/>
        <i x="3" s="1"/>
        <i x="4" s="1"/>
        <i x="1"/>
        <i x="0" s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O_DOC" xr10:uid="{F94E6B98-53D0-4EDD-9D18-568533812A6C}" sourceName="TIPO DO DOC">
  <pivotTables>
    <pivotTable tabId="4" name="Tabela dinâmica6"/>
  </pivotTables>
  <data>
    <tabular pivotCacheId="1378855142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COLABORADOR" xr10:uid="{B4B1C1D9-78E2-4F91-8561-0154524E72D4}" cache="SegmentaçãodeDados_STATUS_COLABORADOR" caption="STATUS COLABORADOR" columnCount="2" rowHeight="241300"/>
  <slicer name="TIPO DO DOC" xr10:uid="{A2232416-6297-4C49-ADA1-353A116E17A8}" cache="SegmentaçãodeDados_TIPO_DO_DOC" caption="TIPO DO DOC" columnCount="3" style="SlicerStyleLight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0CEAA-192A-4838-9411-4BCBAFEB5DA3}" name="Tabela2" displayName="Tabela2" ref="A2:K610" totalsRowShown="0" headerRowDxfId="1644" dataDxfId="1643">
  <autoFilter ref="A2:K610" xr:uid="{8D00CEAA-192A-4838-9411-4BCBAFEB5DA3}">
    <filterColumn colId="5">
      <filters blank="1">
        <filter val="CONTRATO"/>
        <filter val="EFETIVO"/>
      </filters>
    </filterColumn>
  </autoFilter>
  <tableColumns count="11">
    <tableColumn id="1" xr3:uid="{994B23DA-73F4-4709-B963-E95A03703CC2}" name="NOME" dataDxfId="1642"/>
    <tableColumn id="2" xr3:uid="{EABFEB51-EDC7-406C-B0D8-05DF1C863893}" name="FUNÇÃO" dataDxfId="1641"/>
    <tableColumn id="3" xr3:uid="{E0159BEA-9D91-42E5-A287-3696FB6DDE9C}" name="ADMISSÃO" dataDxfId="1640"/>
    <tableColumn id="4" xr3:uid="{4AB20924-BC56-4E00-845C-6AFCE5DED118}" name="TERMINO DE CONTRATO " dataDxfId="1639"/>
    <tableColumn id="5" xr3:uid="{F64CF001-CE91-41D6-8C7D-B4306C70174F}" name="RENOVADO ? " dataDxfId="1638"/>
    <tableColumn id="8" xr3:uid="{18BF031C-B3FF-4C12-B35D-3377F3FADB43}" name="STATUS COLABORADOR" dataDxfId="1637"/>
    <tableColumn id="7" xr3:uid="{37987B3E-DDC8-47DE-9C56-121DB149A84C}" name="REALIZAÇÃO DO ASO" dataDxfId="1636"/>
    <tableColumn id="9" xr3:uid="{DE91B9B0-C672-4834-8F57-99E318EDE768}" name="PROXIMO ASO" dataDxfId="1635">
      <calculatedColumnFormula>IF(Tabela2[[#This Row],[REALIZAÇÃO DO ASO]]="","",Tabela2[[#This Row],[REALIZAÇÃO DO ASO]]+365)</calculatedColumnFormula>
    </tableColumn>
    <tableColumn id="10" xr3:uid="{70EF8727-F88A-44A4-80E7-ED472D995CE9}" name="SITUAÇÃO DO ASO" dataDxfId="1634">
      <calculatedColumnFormula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calculatedColumnFormula>
    </tableColumn>
    <tableColumn id="11" xr3:uid="{05C2510C-1EE6-426A-8076-4128351BE0F6}" name="STATUS ASO" dataDxfId="1633">
      <calculatedColumnFormula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calculatedColumnFormula>
    </tableColumn>
    <tableColumn id="6" xr3:uid="{383DF7F0-839B-4586-AE12-18C6247EE0DE}" name="SITUAÇÃO DO CONTRATO" dataDxfId="1632">
      <calculatedColumnFormula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COLABORADOR]]="AFASTADO","AFASTADO",IF(D3&gt;TODAY(),_xlfn.DAYS(D3,TODAY())&amp;" Dia(s) Restante do "&amp;Tabela2[[#This Row],[STATUS COLABORADOR]],IF(D3&lt;TODAY(),"VENCIDO",IF(D3=TODAY(),"ULTIMO DIA DE CONTRATO",)))))))),"")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6E50FC-5B13-4C6C-8381-04A48C641F11}" name="Tabela5" displayName="Tabela5" ref="A2:E200" totalsRowShown="0" headerRowDxfId="1631">
  <autoFilter ref="A2:E200" xr:uid="{AF6E50FC-5B13-4C6C-8381-04A48C641F11}"/>
  <tableColumns count="5">
    <tableColumn id="1" xr3:uid="{4A909EF2-B874-4E4B-B883-FB9B02EDC40C}" name="TIPO DO DOC" dataDxfId="1630"/>
    <tableColumn id="2" xr3:uid="{EA739F7A-50C5-42F1-9DBA-785ACDB63BA3}" name="IDENTIFICAÇÃO" dataDxfId="1629"/>
    <tableColumn id="3" xr3:uid="{24F238BC-D902-4474-A3C5-BB383089BC5F}" name="VENCIMENTO" dataDxfId="1628"/>
    <tableColumn id="7" xr3:uid="{25786782-93D2-40E3-A46C-7DC5A1734924}" name="OBSERVAÇÃO" dataDxfId="1627"/>
    <tableColumn id="4" xr3:uid="{18CED886-440D-4EDA-A1FF-472CCCEF8395}" name="SITUAÇÃO">
      <calculatedColumnFormula>IFERROR(IF(A3="","",IF(C3="","DIGITE DATA DE VENCIMENTO",IF(C3&lt;TODAY(),"VENCIDO",IF(C3=TODAY(),"ULTIMO DIA",IF(C3&gt;TODAY(),_xlfn.DAYS(C3,TODAY())&amp;" Dia(s) Restante"))))),"")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49ECB9-9A06-447C-861C-6C6110172271}" name="Tabela15" displayName="Tabela15" ref="B3:L13" totalsRowShown="0">
  <autoFilter ref="B3:L13" xr:uid="{2149ECB9-9A06-447C-861C-6C6110172271}"/>
  <tableColumns count="11">
    <tableColumn id="1" xr3:uid="{11562B4B-7148-4868-8CCB-5682B54331A6}" name="PLACA" dataDxfId="1626"/>
    <tableColumn id="2" xr3:uid="{D5727227-0572-4EF7-AED5-C153B74BBE0D}" name="DATA DE LICENCIAMENTO" dataDxfId="1625"/>
    <tableColumn id="3" xr3:uid="{17BBAD27-5EB1-45B9-A99A-27E8D7319226}" name="DATA VENCIMENTO" dataDxfId="1624">
      <calculatedColumnFormula>IFERROR(IF(Tabela15[[#This Row],[DATA DE LICENCIAMENTO]]="","",DATE($K4,$J4,$G4)),"")</calculatedColumnFormula>
    </tableColumn>
    <tableColumn id="4" xr3:uid="{91652C18-3729-455E-B1AA-2C7283C28E96}" name="FINAL DA PLACA" dataDxfId="1623">
      <calculatedColumnFormula>RIGHT(B4,1)</calculatedColumnFormula>
    </tableColumn>
    <tableColumn id="5" xr3:uid="{F291B673-0DA0-4FD8-822C-C511615B2A86}" name="Coluna1">
      <calculatedColumnFormula>VALUE(E4)</calculatedColumnFormula>
    </tableColumn>
    <tableColumn id="6" xr3:uid="{5C0605DD-8CC3-4FAD-8390-059E6742B13B}" name="DIA">
      <calculatedColumnFormula>DAY(C4)</calculatedColumnFormula>
    </tableColumn>
    <tableColumn id="7" xr3:uid="{3CD1F69F-D372-4E4F-A9C2-184C751AEE41}" name="MÊS" dataDxfId="1622">
      <calculatedColumnFormula>VLOOKUP(F4,$O$4:$P$13,2,FALSE)</calculatedColumnFormula>
    </tableColumn>
    <tableColumn id="8" xr3:uid="{BC4EF297-C3B6-4428-B72D-AA2BCBF8695C}" name="ANO">
      <calculatedColumnFormula>VALUE(K4)</calculatedColumnFormula>
    </tableColumn>
    <tableColumn id="9" xr3:uid="{9E405D5B-A201-47E4-8692-91544861FDD7}" name="Coluna2" dataDxfId="1621">
      <calculatedColumnFormula>IFERROR(VLOOKUP(H4,$R$3:$S$14,2,FALSE),"")</calculatedColumnFormula>
    </tableColumn>
    <tableColumn id="10" xr3:uid="{FD9518F6-E69E-41E6-AAFA-DC4FE746490F}" name="Coluna3">
      <calculatedColumnFormula>YEAR(C4)+1</calculatedColumnFormula>
    </tableColumn>
    <tableColumn id="11" xr3:uid="{B306C709-1565-4B8C-BDAD-D106B1B0E48D}" name="STATUS" dataDxfId="1620">
      <calculatedColumnFormula>IF(Tabela15[[#This Row],[DATA VENCIMENTO]]="","",IF(Tabela15[[#This Row],[DATA VENCIMENTO]]&lt;$R$1,"VENCIDO",IF(Tabela15[[#This Row],[DATA VENCIMENTO]]=$R$1,"ULTIMO DIA","DENTRO DO PRAZO")))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581FF4-0A38-4A1C-BCF2-E57A1B4CEF67}" name="Tabela1517" displayName="Tabela1517" ref="B18:L28" totalsRowShown="0">
  <autoFilter ref="B18:L28" xr:uid="{05581FF4-0A38-4A1C-BCF2-E57A1B4CEF67}"/>
  <tableColumns count="11">
    <tableColumn id="1" xr3:uid="{23FA3D90-181E-45FA-9788-8D49DF1645CF}" name="PLACA" dataDxfId="1619"/>
    <tableColumn id="2" xr3:uid="{160922F1-5FCC-4B67-828E-2F8AF6E6773B}" name="DATA DE LICENCIAMENTO" dataDxfId="1618"/>
    <tableColumn id="3" xr3:uid="{F6B557AF-0AD7-48E6-BDD3-FBAE771D2374}" name="DATA VENCIMENTO" dataDxfId="1617">
      <calculatedColumnFormula>IFERROR(IF(Tabela1517[[#This Row],[DATA DE LICENCIAMENTO]]="","",DATE(K19,J19,G19)),"")</calculatedColumnFormula>
    </tableColumn>
    <tableColumn id="4" xr3:uid="{2B3CC354-640B-45BD-84C4-B00E8DDF3CAA}" name="FINAL DA PLACA" dataDxfId="1616">
      <calculatedColumnFormula>RIGHT(B19,1)</calculatedColumnFormula>
    </tableColumn>
    <tableColumn id="5" xr3:uid="{EFF9DD82-3456-4919-B081-5712E4DF4089}" name="Coluna1">
      <calculatedColumnFormula>VALUE(E19)</calculatedColumnFormula>
    </tableColumn>
    <tableColumn id="6" xr3:uid="{F6924F88-D791-40BD-9B92-68F22F00E6AD}" name="DIA">
      <calculatedColumnFormula>DAY(C19)</calculatedColumnFormula>
    </tableColumn>
    <tableColumn id="7" xr3:uid="{90837514-0639-4DEF-AA05-E31418AE8B13}" name="MÊS" dataDxfId="1615">
      <calculatedColumnFormula>VLOOKUP(F19,$O$19:$P$28,2,FALSE)</calculatedColumnFormula>
    </tableColumn>
    <tableColumn id="8" xr3:uid="{E27CA10A-E8AA-4598-B905-52057549131F}" name="ANO">
      <calculatedColumnFormula>VALUE(K19)</calculatedColumnFormula>
    </tableColumn>
    <tableColumn id="9" xr3:uid="{113EE71F-5768-4E38-B642-64DAF6B2278B}" name="Coluna2" dataDxfId="1614">
      <calculatedColumnFormula>IFERROR(VLOOKUP(H19,$R$3:$S$14,2,FALSE),"")</calculatedColumnFormula>
    </tableColumn>
    <tableColumn id="10" xr3:uid="{A8221A11-3B5C-4B52-97CA-4A9C382D788B}" name="Coluna3">
      <calculatedColumnFormula>YEAR(C19)+1</calculatedColumnFormula>
    </tableColumn>
    <tableColumn id="11" xr3:uid="{A03BC8BC-2093-4BE4-B7DD-B462793750D0}" name="Coluna4" dataDxfId="1613">
      <calculatedColumnFormula>IF(Tabela1517[[#This Row],[DATA VENCIMENTO]]="","",IF(Tabela1517[[#This Row],[DATA VENCIMENTO]]&lt;$R$1,"VENCIDO",IF(Tabela1517[[#This Row],[DATA VENCIMENTO]]=$R$1,"ULTIMO DIA","DENTRO DO PRAZO")))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83994-4CCB-4176-B428-6E7D4FCB4028}" name="SITUACAO" displayName="SITUACAO" ref="A4:A9" totalsRowShown="0" headerRowDxfId="1612">
  <autoFilter ref="A4:A9" xr:uid="{E7083994-4CCB-4176-B428-6E7D4FCB4028}"/>
  <sortState xmlns:xlrd2="http://schemas.microsoft.com/office/spreadsheetml/2017/richdata2" ref="A5:A8">
    <sortCondition ref="A4:A8"/>
  </sortState>
  <tableColumns count="1">
    <tableColumn id="1" xr3:uid="{343D496A-2099-46A0-975C-270CB7E8F4F3}" name="SITUAÇÃO" dataDxfId="161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42A84-8A5E-4A25-8DFD-DE5736841649}" name="CONTRATO" displayName="CONTRATO" ref="C4:C6" totalsRowShown="0">
  <autoFilter ref="C4:C6" xr:uid="{8AF42A84-8A5E-4A25-8DFD-DE5736841649}"/>
  <tableColumns count="1">
    <tableColumn id="1" xr3:uid="{EB78EE81-D709-4D17-A608-EB21E0663820}" name="CONTRA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1D8C10-DAD8-46C2-BA9E-96C67359622F}" name="FUNCAO" displayName="FUNCAO" ref="E4:E19" totalsRowShown="0">
  <autoFilter ref="E4:E19" xr:uid="{F51D8C10-DAD8-46C2-BA9E-96C67359622F}"/>
  <sortState xmlns:xlrd2="http://schemas.microsoft.com/office/spreadsheetml/2017/richdata2" ref="E5:E18">
    <sortCondition ref="E4:E18"/>
  </sortState>
  <tableColumns count="1">
    <tableColumn id="1" xr3:uid="{E5A1FFCE-607E-4738-869D-48B1A822E07D}" name="CADASTRO DE FUN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50DE85-B98D-46E2-BEA9-4A3605A18E2D}" name="IDENTIFICACAO" displayName="IDENTIFICACAO" ref="G4:G9" totalsRowShown="0" headerRowDxfId="1610">
  <autoFilter ref="G4:G9" xr:uid="{4B50DE85-B98D-46E2-BEA9-4A3605A18E2D}"/>
  <tableColumns count="1">
    <tableColumn id="1" xr3:uid="{F69EAD5F-6B27-447C-80F5-23831E13AF85}" name="IDENTIFICAÇÃO" dataDxfId="160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667839-6612-45B5-BDC6-A1230062B8C5}" name="EMPRESA" displayName="EMPRESA" ref="I4:I15" totalsRowShown="0" headerRowBorderDxfId="1608" tableBorderDxfId="1607">
  <autoFilter ref="I4:I15" xr:uid="{09667839-6612-45B5-BDC6-A1230062B8C5}"/>
  <tableColumns count="1">
    <tableColumn id="1" xr3:uid="{19DB2D49-F0C3-4476-B0C1-DB6AC8EB8776}" name="TIPO_EMPRESA" dataDxfId="160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EC7290-664C-4328-9F9C-E1BBDD017024}" name="VEICULOS_LICENCIAMENTO" displayName="VEICULOS_LICENCIAMENTO" ref="J4:J12" totalsRowShown="0" dataDxfId="1605" tableBorderDxfId="1604">
  <autoFilter ref="J4:J12" xr:uid="{24EC7290-664C-4328-9F9C-E1BBDD017024}"/>
  <tableColumns count="1">
    <tableColumn id="1" xr3:uid="{7FDDE0D7-3C77-4C19-A59E-BD006ABDB51E}" name="VEICULOS_LICENCIAMENTO" dataDxfId="160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3024CE-7699-4E9F-9B6A-386566711FCF}" name="VEICULOS_TACOGRAFO" displayName="VEICULOS_TACOGRAFO" ref="K4:K12" totalsRowShown="0" dataDxfId="1602" tableBorderDxfId="1601">
  <autoFilter ref="K4:K12" xr:uid="{5E3024CE-7699-4E9F-9B6A-386566711FCF}"/>
  <tableColumns count="1">
    <tableColumn id="1" xr3:uid="{0169483C-CD7A-4A86-A07B-D1E9BEC13589}" name="VEICULOS_TACOGRAFO" dataDxfId="16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D68F-043D-4032-8051-EC78DAE3FB77}">
  <sheetPr>
    <pageSetUpPr fitToPage="1"/>
  </sheetPr>
  <dimension ref="A1:XFB301"/>
  <sheetViews>
    <sheetView showGridLines="0" tabSelected="1" zoomScale="85" zoomScaleNormal="85" workbookViewId="0">
      <pane ySplit="10" topLeftCell="A11" activePane="bottomLeft" state="frozen"/>
      <selection pane="bottomLeft" activeCell="C23" sqref="C23"/>
    </sheetView>
  </sheetViews>
  <sheetFormatPr defaultColWidth="0" defaultRowHeight="15" x14ac:dyDescent="0.25"/>
  <cols>
    <col min="1" max="1" width="37.5703125" style="22" bestFit="1" customWidth="1"/>
    <col min="2" max="2" width="24.5703125" style="22" bestFit="1" customWidth="1"/>
    <col min="3" max="3" width="32.42578125" style="22" bestFit="1" customWidth="1"/>
    <col min="4" max="4" width="15.28515625" style="22" bestFit="1" customWidth="1"/>
    <col min="5" max="5" width="15.85546875" style="24" bestFit="1" customWidth="1"/>
    <col min="6" max="6" width="2.7109375" customWidth="1"/>
    <col min="7" max="7" width="27.85546875" bestFit="1" customWidth="1"/>
    <col min="8" max="8" width="25.7109375" bestFit="1" customWidth="1"/>
    <col min="9" max="9" width="18.28515625" style="69" bestFit="1" customWidth="1"/>
    <col min="10" max="10" width="15.42578125" style="20" bestFit="1" customWidth="1"/>
    <col min="11" max="11" width="15.5703125" bestFit="1" customWidth="1"/>
    <col min="12" max="16382" width="9.140625" hidden="1"/>
    <col min="16383" max="16383" width="18.28515625" customWidth="1"/>
    <col min="16384" max="16384" width="13.42578125" customWidth="1"/>
  </cols>
  <sheetData>
    <row r="1" spans="1:11" s="68" customFormat="1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68" customForma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68" customForma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1" s="68" customFormat="1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</row>
    <row r="5" spans="1:11" s="68" customFormat="1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s="68" customForma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</row>
    <row r="7" spans="1:11" s="68" customFormat="1" ht="24.7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ht="15" customHeight="1" x14ac:dyDescent="0.25">
      <c r="A8" s="72" t="s">
        <v>33</v>
      </c>
      <c r="B8" s="72"/>
      <c r="C8" s="72"/>
      <c r="D8" s="72"/>
      <c r="E8" s="73"/>
      <c r="F8" s="21"/>
      <c r="G8" s="74" t="s">
        <v>34</v>
      </c>
      <c r="H8" s="72"/>
      <c r="I8" s="72"/>
      <c r="J8" s="72"/>
      <c r="K8" s="72"/>
    </row>
    <row r="9" spans="1:11" ht="15" customHeight="1" x14ac:dyDescent="0.25">
      <c r="A9" s="72"/>
      <c r="B9" s="72"/>
      <c r="C9" s="72"/>
      <c r="D9" s="72"/>
      <c r="E9" s="73"/>
      <c r="F9" s="21"/>
      <c r="G9" s="74"/>
      <c r="H9" s="72"/>
      <c r="I9" s="72"/>
      <c r="J9" s="72"/>
      <c r="K9" s="72"/>
    </row>
    <row r="10" spans="1:11" x14ac:dyDescent="0.25">
      <c r="A10" s="93" t="s">
        <v>0</v>
      </c>
      <c r="B10" s="93" t="s">
        <v>1</v>
      </c>
      <c r="C10" s="93" t="s">
        <v>32</v>
      </c>
      <c r="D10" s="96" t="s">
        <v>36</v>
      </c>
      <c r="E10" s="95" t="s">
        <v>60</v>
      </c>
      <c r="G10" s="85" t="s">
        <v>24</v>
      </c>
      <c r="H10" s="83" t="s">
        <v>119</v>
      </c>
      <c r="I10" s="89" t="s">
        <v>4</v>
      </c>
      <c r="J10" s="86" t="s">
        <v>23</v>
      </c>
      <c r="K10" s="85" t="s">
        <v>25</v>
      </c>
    </row>
    <row r="11" spans="1:11" x14ac:dyDescent="0.25">
      <c r="A11" s="92" t="s">
        <v>69</v>
      </c>
      <c r="B11" s="92" t="s">
        <v>31</v>
      </c>
      <c r="C11" s="92" t="s">
        <v>6</v>
      </c>
      <c r="D11" s="94">
        <v>46512</v>
      </c>
      <c r="E11" s="92" t="s">
        <v>61</v>
      </c>
      <c r="F11" s="21"/>
      <c r="G11" s="83" t="s">
        <v>112</v>
      </c>
      <c r="H11" s="87" t="s">
        <v>30</v>
      </c>
      <c r="I11" s="90" t="s">
        <v>37</v>
      </c>
      <c r="J11" s="84">
        <v>46022</v>
      </c>
      <c r="K11" s="83" t="s">
        <v>39</v>
      </c>
    </row>
    <row r="12" spans="1:11" x14ac:dyDescent="0.25">
      <c r="A12" s="92" t="s">
        <v>40</v>
      </c>
      <c r="B12" s="92" t="s">
        <v>41</v>
      </c>
      <c r="C12" s="92" t="s">
        <v>6</v>
      </c>
      <c r="D12" s="94">
        <v>46413</v>
      </c>
      <c r="E12" s="92" t="s">
        <v>61</v>
      </c>
      <c r="F12" s="21"/>
      <c r="G12" s="83" t="s">
        <v>115</v>
      </c>
      <c r="H12" s="83" t="s">
        <v>30</v>
      </c>
      <c r="I12" s="83" t="s">
        <v>37</v>
      </c>
      <c r="J12" s="84">
        <v>46258</v>
      </c>
      <c r="K12" s="83" t="s">
        <v>39</v>
      </c>
    </row>
    <row r="13" spans="1:11" x14ac:dyDescent="0.25">
      <c r="A13" s="92" t="s">
        <v>42</v>
      </c>
      <c r="B13" s="92" t="s">
        <v>16</v>
      </c>
      <c r="C13" s="92" t="s">
        <v>6</v>
      </c>
      <c r="D13" s="94">
        <v>46413</v>
      </c>
      <c r="E13" s="92" t="s">
        <v>61</v>
      </c>
      <c r="F13" s="21"/>
      <c r="G13" s="83" t="s">
        <v>114</v>
      </c>
      <c r="H13" s="83" t="s">
        <v>30</v>
      </c>
      <c r="I13" s="87" t="s">
        <v>37</v>
      </c>
      <c r="J13" s="84">
        <v>46176</v>
      </c>
      <c r="K13" s="83" t="s">
        <v>39</v>
      </c>
    </row>
    <row r="14" spans="1:11" x14ac:dyDescent="0.25">
      <c r="A14" s="92" t="s">
        <v>43</v>
      </c>
      <c r="B14" s="92" t="s">
        <v>44</v>
      </c>
      <c r="C14" s="92" t="s">
        <v>6</v>
      </c>
      <c r="D14" s="94">
        <v>46499</v>
      </c>
      <c r="E14" s="92" t="s">
        <v>61</v>
      </c>
      <c r="F14" s="21"/>
      <c r="G14" s="83" t="s">
        <v>113</v>
      </c>
      <c r="H14" s="83" t="s">
        <v>30</v>
      </c>
      <c r="I14" s="83" t="s">
        <v>37</v>
      </c>
      <c r="J14" s="84">
        <v>46258</v>
      </c>
      <c r="K14" s="83" t="s">
        <v>39</v>
      </c>
    </row>
    <row r="15" spans="1:11" x14ac:dyDescent="0.25">
      <c r="A15" s="92" t="s">
        <v>46</v>
      </c>
      <c r="B15" s="92" t="s">
        <v>41</v>
      </c>
      <c r="C15" s="92" t="s">
        <v>6</v>
      </c>
      <c r="D15" s="94">
        <v>46429</v>
      </c>
      <c r="E15" s="92" t="s">
        <v>61</v>
      </c>
      <c r="F15" s="21"/>
      <c r="G15" s="83" t="s">
        <v>62</v>
      </c>
      <c r="H15" s="87" t="s">
        <v>117</v>
      </c>
      <c r="I15" s="83" t="s">
        <v>199</v>
      </c>
      <c r="J15" s="84">
        <v>46320</v>
      </c>
      <c r="K15" s="83" t="s">
        <v>39</v>
      </c>
    </row>
    <row r="16" spans="1:11" x14ac:dyDescent="0.25">
      <c r="A16" s="92" t="s">
        <v>48</v>
      </c>
      <c r="B16" s="92" t="s">
        <v>44</v>
      </c>
      <c r="C16" s="92" t="s">
        <v>6</v>
      </c>
      <c r="D16" s="94">
        <v>46612</v>
      </c>
      <c r="E16" s="92" t="s">
        <v>61</v>
      </c>
      <c r="F16" s="21"/>
      <c r="G16" s="83"/>
      <c r="H16" s="87" t="s">
        <v>118</v>
      </c>
      <c r="I16" s="91" t="s">
        <v>37</v>
      </c>
      <c r="J16" s="88">
        <v>45835</v>
      </c>
      <c r="K16" s="87" t="s">
        <v>39</v>
      </c>
    </row>
    <row r="17" spans="1:11" x14ac:dyDescent="0.25">
      <c r="A17" s="92" t="s">
        <v>50</v>
      </c>
      <c r="B17" s="92" t="s">
        <v>59</v>
      </c>
      <c r="C17" s="92" t="s">
        <v>6</v>
      </c>
      <c r="D17" s="94">
        <v>46599</v>
      </c>
      <c r="E17" s="92" t="s">
        <v>61</v>
      </c>
      <c r="F17" s="21"/>
      <c r="G17" s="83" t="s">
        <v>66</v>
      </c>
      <c r="H17" s="87" t="s">
        <v>117</v>
      </c>
      <c r="I17" s="83" t="s">
        <v>37</v>
      </c>
      <c r="J17" s="84">
        <v>46006</v>
      </c>
      <c r="K17" s="83" t="s">
        <v>39</v>
      </c>
    </row>
    <row r="18" spans="1:11" x14ac:dyDescent="0.25">
      <c r="A18" s="92" t="s">
        <v>51</v>
      </c>
      <c r="B18" s="92" t="s">
        <v>18</v>
      </c>
      <c r="C18" s="92" t="s">
        <v>6</v>
      </c>
      <c r="D18" s="94">
        <v>46658</v>
      </c>
      <c r="E18" s="92" t="s">
        <v>61</v>
      </c>
      <c r="F18" s="21"/>
      <c r="G18" s="83"/>
      <c r="H18" s="87" t="s">
        <v>118</v>
      </c>
      <c r="I18" s="83" t="s">
        <v>194</v>
      </c>
      <c r="J18" s="84">
        <v>46468</v>
      </c>
      <c r="K18" s="83" t="s">
        <v>39</v>
      </c>
    </row>
    <row r="19" spans="1:11" x14ac:dyDescent="0.25">
      <c r="A19" s="92" t="s">
        <v>52</v>
      </c>
      <c r="B19" s="92" t="s">
        <v>19</v>
      </c>
      <c r="C19" s="92" t="s">
        <v>6</v>
      </c>
      <c r="D19" s="94">
        <v>46662</v>
      </c>
      <c r="E19" s="92" t="s">
        <v>61</v>
      </c>
      <c r="F19" s="21"/>
      <c r="G19" s="83" t="s">
        <v>64</v>
      </c>
      <c r="H19" s="87" t="s">
        <v>117</v>
      </c>
      <c r="I19" s="83" t="s">
        <v>37</v>
      </c>
      <c r="J19" s="84">
        <v>46280</v>
      </c>
      <c r="K19" s="83" t="s">
        <v>39</v>
      </c>
    </row>
    <row r="20" spans="1:11" x14ac:dyDescent="0.25">
      <c r="A20" s="92" t="s">
        <v>54</v>
      </c>
      <c r="B20" s="92" t="s">
        <v>19</v>
      </c>
      <c r="C20" s="92" t="s">
        <v>6</v>
      </c>
      <c r="D20" s="94">
        <v>46499</v>
      </c>
      <c r="E20" s="92" t="s">
        <v>61</v>
      </c>
      <c r="F20" s="21"/>
      <c r="G20" s="83"/>
      <c r="H20" s="87" t="s">
        <v>118</v>
      </c>
      <c r="I20" s="91" t="s">
        <v>37</v>
      </c>
      <c r="J20" s="88">
        <v>45113</v>
      </c>
      <c r="K20" s="87" t="s">
        <v>39</v>
      </c>
    </row>
    <row r="21" spans="1:11" x14ac:dyDescent="0.25">
      <c r="A21" s="92" t="s">
        <v>57</v>
      </c>
      <c r="B21" s="92" t="s">
        <v>44</v>
      </c>
      <c r="C21" s="92" t="s">
        <v>6</v>
      </c>
      <c r="D21" s="94">
        <v>46444</v>
      </c>
      <c r="E21" s="92" t="s">
        <v>61</v>
      </c>
      <c r="F21" s="21"/>
      <c r="G21" s="83" t="s">
        <v>63</v>
      </c>
      <c r="H21" s="87" t="s">
        <v>117</v>
      </c>
      <c r="I21" s="83" t="s">
        <v>37</v>
      </c>
      <c r="J21" s="84">
        <v>45919</v>
      </c>
      <c r="K21" s="83" t="s">
        <v>39</v>
      </c>
    </row>
    <row r="22" spans="1:11" x14ac:dyDescent="0.25">
      <c r="A22" s="92" t="s">
        <v>129</v>
      </c>
      <c r="B22" s="92" t="s">
        <v>122</v>
      </c>
      <c r="C22" s="92" t="s">
        <v>6</v>
      </c>
      <c r="D22" s="94">
        <v>46662</v>
      </c>
      <c r="E22" s="92" t="s">
        <v>61</v>
      </c>
      <c r="F22" s="21"/>
      <c r="G22" s="83"/>
      <c r="H22" s="87" t="s">
        <v>118</v>
      </c>
      <c r="I22" s="91" t="s">
        <v>37</v>
      </c>
      <c r="J22" s="88">
        <v>45190</v>
      </c>
      <c r="K22" s="87" t="s">
        <v>39</v>
      </c>
    </row>
    <row r="23" spans="1:11" x14ac:dyDescent="0.25">
      <c r="A23" s="92" t="s">
        <v>132</v>
      </c>
      <c r="B23" s="92" t="s">
        <v>122</v>
      </c>
      <c r="C23" s="92" t="s">
        <v>6</v>
      </c>
      <c r="D23" s="94">
        <v>46329</v>
      </c>
      <c r="E23" s="92" t="s">
        <v>61</v>
      </c>
      <c r="F23" s="21"/>
      <c r="G23" s="83" t="s">
        <v>65</v>
      </c>
      <c r="H23" s="87" t="s">
        <v>117</v>
      </c>
      <c r="I23" s="83" t="s">
        <v>37</v>
      </c>
      <c r="J23" s="84">
        <v>45962</v>
      </c>
      <c r="K23" s="83" t="s">
        <v>39</v>
      </c>
    </row>
    <row r="24" spans="1:11" x14ac:dyDescent="0.25">
      <c r="A24" s="92" t="s">
        <v>149</v>
      </c>
      <c r="B24" s="92" t="s">
        <v>59</v>
      </c>
      <c r="C24" s="92" t="s">
        <v>6</v>
      </c>
      <c r="D24" s="94">
        <v>46442</v>
      </c>
      <c r="E24" s="92" t="s">
        <v>61</v>
      </c>
      <c r="F24" s="21"/>
      <c r="G24" s="83"/>
      <c r="H24" s="87" t="s">
        <v>118</v>
      </c>
      <c r="I24" s="87" t="s">
        <v>37</v>
      </c>
      <c r="J24" s="84">
        <v>45923</v>
      </c>
      <c r="K24" s="83" t="s">
        <v>39</v>
      </c>
    </row>
    <row r="25" spans="1:11" x14ac:dyDescent="0.25">
      <c r="A25" s="92" t="s">
        <v>151</v>
      </c>
      <c r="B25" s="92" t="s">
        <v>152</v>
      </c>
      <c r="C25" s="92" t="s">
        <v>6</v>
      </c>
      <c r="D25" s="94">
        <v>46441</v>
      </c>
      <c r="E25" s="92" t="s">
        <v>61</v>
      </c>
      <c r="F25" s="21"/>
      <c r="G25" s="83" t="s">
        <v>68</v>
      </c>
      <c r="H25" s="87" t="s">
        <v>117</v>
      </c>
      <c r="I25" s="83" t="s">
        <v>37</v>
      </c>
      <c r="J25" s="84">
        <v>46310</v>
      </c>
      <c r="K25" s="83" t="s">
        <v>39</v>
      </c>
    </row>
    <row r="26" spans="1:11" x14ac:dyDescent="0.25">
      <c r="A26" s="92" t="s">
        <v>156</v>
      </c>
      <c r="B26" s="92" t="s">
        <v>122</v>
      </c>
      <c r="C26" s="92" t="s">
        <v>6</v>
      </c>
      <c r="D26" s="94">
        <v>46471</v>
      </c>
      <c r="E26" s="92" t="s">
        <v>61</v>
      </c>
      <c r="F26" s="21"/>
      <c r="G26" s="83"/>
      <c r="H26" s="87" t="s">
        <v>118</v>
      </c>
      <c r="I26" s="91" t="s">
        <v>37</v>
      </c>
      <c r="J26" s="88">
        <v>45606</v>
      </c>
      <c r="K26" s="87" t="s">
        <v>39</v>
      </c>
    </row>
    <row r="27" spans="1:11" x14ac:dyDescent="0.25">
      <c r="A27" s="92" t="s">
        <v>161</v>
      </c>
      <c r="B27" s="92" t="s">
        <v>20</v>
      </c>
      <c r="C27" s="92" t="s">
        <v>8</v>
      </c>
      <c r="D27" s="94">
        <v>46484</v>
      </c>
      <c r="E27" s="92" t="s">
        <v>61</v>
      </c>
      <c r="F27" s="21"/>
      <c r="G27" s="83" t="s">
        <v>67</v>
      </c>
      <c r="H27" s="87" t="s">
        <v>117</v>
      </c>
      <c r="I27" s="83" t="s">
        <v>37</v>
      </c>
      <c r="J27" s="84">
        <v>45976</v>
      </c>
      <c r="K27" s="83" t="s">
        <v>39</v>
      </c>
    </row>
    <row r="28" spans="1:11" x14ac:dyDescent="0.25">
      <c r="A28" s="92" t="s">
        <v>162</v>
      </c>
      <c r="B28" s="92" t="s">
        <v>20</v>
      </c>
      <c r="C28" s="92" t="s">
        <v>6</v>
      </c>
      <c r="D28" s="94">
        <v>46485</v>
      </c>
      <c r="E28" s="92" t="s">
        <v>61</v>
      </c>
      <c r="F28" s="21"/>
      <c r="G28" s="83"/>
      <c r="H28" s="87" t="s">
        <v>118</v>
      </c>
      <c r="I28" s="83" t="s">
        <v>195</v>
      </c>
      <c r="J28" s="84">
        <v>46423</v>
      </c>
      <c r="K28" s="83" t="s">
        <v>39</v>
      </c>
    </row>
    <row r="29" spans="1:11" x14ac:dyDescent="0.25">
      <c r="A29" s="92" t="s">
        <v>184</v>
      </c>
      <c r="B29" s="92" t="s">
        <v>19</v>
      </c>
      <c r="C29" s="92" t="s">
        <v>192</v>
      </c>
      <c r="D29" s="94">
        <v>46597</v>
      </c>
      <c r="E29" s="92" t="s">
        <v>61</v>
      </c>
      <c r="F29" s="21"/>
      <c r="G29" s="83" t="s">
        <v>120</v>
      </c>
      <c r="H29" s="83" t="s">
        <v>117</v>
      </c>
      <c r="I29" s="83" t="s">
        <v>37</v>
      </c>
      <c r="J29" s="84">
        <v>46280</v>
      </c>
      <c r="K29" s="83" t="s">
        <v>39</v>
      </c>
    </row>
    <row r="30" spans="1:11" x14ac:dyDescent="0.25">
      <c r="A30" s="92" t="s">
        <v>190</v>
      </c>
      <c r="B30" s="92" t="s">
        <v>16</v>
      </c>
      <c r="C30" s="92" t="s">
        <v>193</v>
      </c>
      <c r="D30" s="94">
        <v>46595</v>
      </c>
      <c r="E30" s="92" t="s">
        <v>61</v>
      </c>
      <c r="F30" s="21"/>
      <c r="G30" s="83"/>
      <c r="H30" s="83" t="s">
        <v>118</v>
      </c>
      <c r="I30" s="83" t="s">
        <v>195</v>
      </c>
      <c r="J30" s="84">
        <v>46423</v>
      </c>
      <c r="K30" s="83" t="s">
        <v>39</v>
      </c>
    </row>
    <row r="31" spans="1:11" x14ac:dyDescent="0.25">
      <c r="A31"/>
      <c r="B31"/>
      <c r="C31"/>
      <c r="D31"/>
      <c r="E31"/>
      <c r="F31" s="21"/>
      <c r="G31" s="83" t="s">
        <v>28</v>
      </c>
      <c r="H31" s="83" t="s">
        <v>30</v>
      </c>
      <c r="I31" s="83" t="s">
        <v>196</v>
      </c>
      <c r="J31" s="84">
        <v>46579</v>
      </c>
      <c r="K31" s="83" t="s">
        <v>39</v>
      </c>
    </row>
    <row r="32" spans="1:11" x14ac:dyDescent="0.25">
      <c r="A32"/>
      <c r="B32"/>
      <c r="C32"/>
      <c r="D32"/>
      <c r="E32"/>
      <c r="F32" s="21"/>
      <c r="G32" s="83" t="s">
        <v>27</v>
      </c>
      <c r="H32" s="87" t="s">
        <v>30</v>
      </c>
      <c r="I32" s="83" t="s">
        <v>197</v>
      </c>
      <c r="J32" s="84">
        <v>46507</v>
      </c>
      <c r="K32" s="83" t="s">
        <v>39</v>
      </c>
    </row>
    <row r="33" spans="1:11" x14ac:dyDescent="0.25">
      <c r="A33"/>
      <c r="B33"/>
      <c r="C33"/>
      <c r="D33"/>
      <c r="E33"/>
      <c r="F33" s="21"/>
      <c r="G33" s="83" t="s">
        <v>116</v>
      </c>
      <c r="H33" s="83" t="s">
        <v>30</v>
      </c>
      <c r="I33" s="83" t="s">
        <v>198</v>
      </c>
      <c r="J33" s="84">
        <v>46355</v>
      </c>
      <c r="K33" s="83" t="s">
        <v>39</v>
      </c>
    </row>
    <row r="34" spans="1:11" x14ac:dyDescent="0.25">
      <c r="A34"/>
      <c r="B34"/>
      <c r="C34"/>
      <c r="D34"/>
      <c r="E34"/>
      <c r="F34" s="21"/>
      <c r="J34"/>
    </row>
    <row r="35" spans="1:11" x14ac:dyDescent="0.25">
      <c r="A35"/>
      <c r="B35"/>
      <c r="C35"/>
      <c r="D35"/>
      <c r="E35"/>
      <c r="F35" s="21"/>
      <c r="J35"/>
    </row>
    <row r="36" spans="1:11" x14ac:dyDescent="0.25">
      <c r="A36"/>
      <c r="B36"/>
      <c r="C36"/>
      <c r="D36"/>
      <c r="E36"/>
      <c r="F36" s="21"/>
      <c r="J36"/>
    </row>
    <row r="37" spans="1:11" x14ac:dyDescent="0.25">
      <c r="A37"/>
      <c r="B37"/>
      <c r="C37"/>
      <c r="D37"/>
      <c r="E37"/>
      <c r="F37" s="21"/>
    </row>
    <row r="38" spans="1:11" x14ac:dyDescent="0.25">
      <c r="A38"/>
      <c r="B38"/>
      <c r="C38"/>
      <c r="D38"/>
      <c r="E38"/>
      <c r="F38" s="21"/>
    </row>
    <row r="39" spans="1:11" x14ac:dyDescent="0.25">
      <c r="A39"/>
      <c r="B39"/>
      <c r="C39"/>
      <c r="D39"/>
      <c r="E39"/>
      <c r="F39" s="21"/>
    </row>
    <row r="40" spans="1:11" x14ac:dyDescent="0.25">
      <c r="A40"/>
      <c r="B40"/>
      <c r="C40"/>
      <c r="D40"/>
      <c r="E40"/>
      <c r="F40" s="21"/>
    </row>
    <row r="41" spans="1:11" x14ac:dyDescent="0.25">
      <c r="A41"/>
      <c r="B41"/>
      <c r="C41"/>
      <c r="D41"/>
      <c r="E41"/>
      <c r="F41" s="21"/>
    </row>
    <row r="42" spans="1:11" x14ac:dyDescent="0.25">
      <c r="A42"/>
      <c r="B42"/>
      <c r="C42"/>
      <c r="D42"/>
      <c r="E42"/>
      <c r="F42" s="21"/>
    </row>
    <row r="43" spans="1:11" x14ac:dyDescent="0.25">
      <c r="A43"/>
      <c r="B43"/>
      <c r="C43"/>
      <c r="D43"/>
      <c r="E43"/>
      <c r="F43" s="21"/>
    </row>
    <row r="44" spans="1:11" x14ac:dyDescent="0.25">
      <c r="A44"/>
      <c r="B44"/>
      <c r="C44"/>
      <c r="D44"/>
      <c r="E44"/>
      <c r="F44" s="21"/>
    </row>
    <row r="45" spans="1:11" x14ac:dyDescent="0.25">
      <c r="A45"/>
      <c r="B45"/>
      <c r="C45"/>
      <c r="D45"/>
      <c r="E45"/>
      <c r="F45" s="21"/>
    </row>
    <row r="46" spans="1:11" x14ac:dyDescent="0.25">
      <c r="A46"/>
      <c r="B46"/>
      <c r="C46"/>
      <c r="D46"/>
      <c r="E46"/>
      <c r="F46" s="21"/>
    </row>
    <row r="47" spans="1:11" x14ac:dyDescent="0.25">
      <c r="A47"/>
      <c r="B47"/>
      <c r="C47"/>
      <c r="D47"/>
      <c r="E47"/>
      <c r="F47" s="21"/>
    </row>
    <row r="48" spans="1:11" x14ac:dyDescent="0.25">
      <c r="A48"/>
      <c r="B48"/>
      <c r="C48"/>
      <c r="D48"/>
      <c r="E48"/>
      <c r="F48" s="21"/>
    </row>
    <row r="49" spans="1:6" x14ac:dyDescent="0.25">
      <c r="A49"/>
      <c r="B49"/>
      <c r="C49"/>
      <c r="D49"/>
      <c r="E49"/>
      <c r="F49" s="21"/>
    </row>
    <row r="50" spans="1:6" x14ac:dyDescent="0.25">
      <c r="A50"/>
      <c r="B50"/>
      <c r="C50"/>
      <c r="D50"/>
      <c r="E50"/>
      <c r="F50" s="21"/>
    </row>
    <row r="51" spans="1:6" x14ac:dyDescent="0.25">
      <c r="A51"/>
      <c r="B51"/>
      <c r="C51"/>
      <c r="D51"/>
      <c r="E51"/>
      <c r="F51" s="21"/>
    </row>
    <row r="52" spans="1:6" x14ac:dyDescent="0.25">
      <c r="A52"/>
      <c r="B52"/>
      <c r="C52"/>
      <c r="D52"/>
      <c r="E52"/>
      <c r="F52" s="21"/>
    </row>
    <row r="53" spans="1:6" x14ac:dyDescent="0.25">
      <c r="A53"/>
      <c r="B53"/>
      <c r="C53"/>
      <c r="D53"/>
      <c r="E53"/>
      <c r="F53" s="21"/>
    </row>
    <row r="54" spans="1:6" x14ac:dyDescent="0.25">
      <c r="A54"/>
      <c r="B54"/>
      <c r="C54"/>
      <c r="D54"/>
      <c r="E54"/>
      <c r="F54" s="21"/>
    </row>
    <row r="55" spans="1:6" x14ac:dyDescent="0.25">
      <c r="A55"/>
      <c r="B55"/>
      <c r="C55"/>
      <c r="D55"/>
      <c r="E55"/>
      <c r="F55" s="21"/>
    </row>
    <row r="56" spans="1:6" x14ac:dyDescent="0.25">
      <c r="A56"/>
      <c r="B56"/>
      <c r="C56"/>
      <c r="D56"/>
      <c r="E56"/>
      <c r="F56" s="21"/>
    </row>
    <row r="57" spans="1:6" x14ac:dyDescent="0.25">
      <c r="A57"/>
      <c r="B57"/>
      <c r="C57"/>
      <c r="D57"/>
      <c r="E57"/>
      <c r="F57" s="21"/>
    </row>
    <row r="58" spans="1:6" x14ac:dyDescent="0.25">
      <c r="A58"/>
      <c r="B58"/>
      <c r="C58"/>
      <c r="D58"/>
      <c r="E58"/>
      <c r="F58" s="21"/>
    </row>
    <row r="59" spans="1:6" x14ac:dyDescent="0.25">
      <c r="A59"/>
      <c r="B59"/>
      <c r="C59"/>
      <c r="D59"/>
      <c r="E59"/>
      <c r="F59" s="21"/>
    </row>
    <row r="60" spans="1:6" x14ac:dyDescent="0.25">
      <c r="A60"/>
      <c r="B60"/>
      <c r="C60"/>
      <c r="D60"/>
      <c r="E60"/>
      <c r="F60" s="21"/>
    </row>
    <row r="61" spans="1:6" x14ac:dyDescent="0.25">
      <c r="F61" s="21"/>
    </row>
    <row r="62" spans="1:6" x14ac:dyDescent="0.25">
      <c r="F62" s="21"/>
    </row>
    <row r="63" spans="1:6" x14ac:dyDescent="0.25">
      <c r="F63" s="21"/>
    </row>
    <row r="64" spans="1:6" x14ac:dyDescent="0.25">
      <c r="F64" s="21"/>
    </row>
    <row r="65" spans="6:6" x14ac:dyDescent="0.25">
      <c r="F65" s="21"/>
    </row>
    <row r="66" spans="6:6" x14ac:dyDescent="0.25">
      <c r="F66" s="21"/>
    </row>
    <row r="67" spans="6:6" x14ac:dyDescent="0.25">
      <c r="F67" s="21"/>
    </row>
    <row r="68" spans="6:6" x14ac:dyDescent="0.25">
      <c r="F68" s="21"/>
    </row>
    <row r="69" spans="6:6" x14ac:dyDescent="0.25">
      <c r="F69" s="21"/>
    </row>
    <row r="70" spans="6:6" x14ac:dyDescent="0.25">
      <c r="F70" s="21"/>
    </row>
    <row r="71" spans="6:6" x14ac:dyDescent="0.25">
      <c r="F71" s="21"/>
    </row>
    <row r="72" spans="6:6" x14ac:dyDescent="0.25">
      <c r="F72" s="21"/>
    </row>
    <row r="73" spans="6:6" x14ac:dyDescent="0.25">
      <c r="F73" s="21"/>
    </row>
    <row r="74" spans="6:6" x14ac:dyDescent="0.25">
      <c r="F74" s="21"/>
    </row>
    <row r="75" spans="6:6" x14ac:dyDescent="0.25">
      <c r="F75" s="21"/>
    </row>
    <row r="76" spans="6:6" x14ac:dyDescent="0.25">
      <c r="F76" s="21"/>
    </row>
    <row r="77" spans="6:6" x14ac:dyDescent="0.25">
      <c r="F77" s="21"/>
    </row>
    <row r="78" spans="6:6" x14ac:dyDescent="0.25">
      <c r="F78" s="21"/>
    </row>
    <row r="79" spans="6:6" x14ac:dyDescent="0.25">
      <c r="F79" s="21"/>
    </row>
    <row r="80" spans="6:6" x14ac:dyDescent="0.25">
      <c r="F80" s="21"/>
    </row>
    <row r="81" spans="2:6" x14ac:dyDescent="0.25">
      <c r="F81" s="21"/>
    </row>
    <row r="82" spans="2:6" x14ac:dyDescent="0.25">
      <c r="F82" s="21"/>
    </row>
    <row r="83" spans="2:6" x14ac:dyDescent="0.25">
      <c r="F83" s="21"/>
    </row>
    <row r="84" spans="2:6" x14ac:dyDescent="0.25">
      <c r="F84" s="21"/>
    </row>
    <row r="85" spans="2:6" x14ac:dyDescent="0.25">
      <c r="F85" s="21"/>
    </row>
    <row r="86" spans="2:6" x14ac:dyDescent="0.25">
      <c r="B86" s="29"/>
      <c r="F86" s="21"/>
    </row>
    <row r="87" spans="2:6" x14ac:dyDescent="0.25">
      <c r="F87" s="21"/>
    </row>
    <row r="88" spans="2:6" x14ac:dyDescent="0.25">
      <c r="F88" s="21"/>
    </row>
    <row r="89" spans="2:6" x14ac:dyDescent="0.25">
      <c r="F89" s="21"/>
    </row>
    <row r="90" spans="2:6" x14ac:dyDescent="0.25">
      <c r="F90" s="21"/>
    </row>
    <row r="91" spans="2:6" x14ac:dyDescent="0.25">
      <c r="F91" s="21"/>
    </row>
    <row r="92" spans="2:6" x14ac:dyDescent="0.25">
      <c r="F92" s="21"/>
    </row>
    <row r="93" spans="2:6" x14ac:dyDescent="0.25">
      <c r="F93" s="21"/>
    </row>
    <row r="94" spans="2:6" x14ac:dyDescent="0.25">
      <c r="F94" s="21"/>
    </row>
    <row r="95" spans="2:6" x14ac:dyDescent="0.25">
      <c r="F95" s="21"/>
    </row>
    <row r="96" spans="2:6" x14ac:dyDescent="0.25">
      <c r="F96" s="21"/>
    </row>
    <row r="97" spans="6:6" x14ac:dyDescent="0.25">
      <c r="F97" s="21"/>
    </row>
    <row r="98" spans="6:6" x14ac:dyDescent="0.25">
      <c r="F98" s="21"/>
    </row>
    <row r="99" spans="6:6" x14ac:dyDescent="0.25">
      <c r="F99" s="21"/>
    </row>
    <row r="100" spans="6:6" x14ac:dyDescent="0.25">
      <c r="F100" s="21"/>
    </row>
    <row r="101" spans="6:6" x14ac:dyDescent="0.25">
      <c r="F101" s="21"/>
    </row>
    <row r="102" spans="6:6" x14ac:dyDescent="0.25">
      <c r="F102" s="21"/>
    </row>
    <row r="103" spans="6:6" x14ac:dyDescent="0.25">
      <c r="F103" s="21"/>
    </row>
    <row r="104" spans="6:6" x14ac:dyDescent="0.25">
      <c r="F104" s="21"/>
    </row>
    <row r="105" spans="6:6" x14ac:dyDescent="0.25">
      <c r="F105" s="21"/>
    </row>
    <row r="106" spans="6:6" x14ac:dyDescent="0.25">
      <c r="F106" s="21"/>
    </row>
    <row r="107" spans="6:6" x14ac:dyDescent="0.25">
      <c r="F107" s="21"/>
    </row>
    <row r="108" spans="6:6" x14ac:dyDescent="0.25">
      <c r="F108" s="21"/>
    </row>
    <row r="109" spans="6:6" x14ac:dyDescent="0.25">
      <c r="F109" s="21"/>
    </row>
    <row r="110" spans="6:6" x14ac:dyDescent="0.25">
      <c r="F110" s="21"/>
    </row>
    <row r="111" spans="6:6" x14ac:dyDescent="0.25">
      <c r="F111" s="21"/>
    </row>
    <row r="112" spans="6:6" x14ac:dyDescent="0.25">
      <c r="F112" s="21"/>
    </row>
    <row r="113" spans="6:6" x14ac:dyDescent="0.25">
      <c r="F113" s="21"/>
    </row>
    <row r="114" spans="6:6" x14ac:dyDescent="0.25">
      <c r="F114" s="21"/>
    </row>
    <row r="115" spans="6:6" x14ac:dyDescent="0.25">
      <c r="F115" s="21"/>
    </row>
    <row r="116" spans="6:6" x14ac:dyDescent="0.25">
      <c r="F116" s="21"/>
    </row>
    <row r="117" spans="6:6" x14ac:dyDescent="0.25">
      <c r="F117" s="21"/>
    </row>
    <row r="118" spans="6:6" x14ac:dyDescent="0.25">
      <c r="F118" s="21"/>
    </row>
    <row r="119" spans="6:6" x14ac:dyDescent="0.25">
      <c r="F119" s="21"/>
    </row>
    <row r="120" spans="6:6" x14ac:dyDescent="0.25">
      <c r="F120" s="21"/>
    </row>
    <row r="121" spans="6:6" x14ac:dyDescent="0.25">
      <c r="F121" s="21"/>
    </row>
    <row r="122" spans="6:6" x14ac:dyDescent="0.25">
      <c r="F122" s="21"/>
    </row>
    <row r="123" spans="6:6" x14ac:dyDescent="0.25">
      <c r="F123" s="21"/>
    </row>
    <row r="124" spans="6:6" x14ac:dyDescent="0.25">
      <c r="F124" s="21"/>
    </row>
    <row r="125" spans="6:6" x14ac:dyDescent="0.25">
      <c r="F125" s="21"/>
    </row>
    <row r="126" spans="6:6" x14ac:dyDescent="0.25">
      <c r="F126" s="21"/>
    </row>
    <row r="127" spans="6:6" x14ac:dyDescent="0.25">
      <c r="F127" s="21"/>
    </row>
    <row r="128" spans="6:6" x14ac:dyDescent="0.25">
      <c r="F128" s="21"/>
    </row>
    <row r="129" spans="6:6" x14ac:dyDescent="0.25">
      <c r="F129" s="21"/>
    </row>
    <row r="130" spans="6:6" x14ac:dyDescent="0.25">
      <c r="F130" s="21"/>
    </row>
    <row r="131" spans="6:6" x14ac:dyDescent="0.25">
      <c r="F131" s="21"/>
    </row>
    <row r="132" spans="6:6" x14ac:dyDescent="0.25">
      <c r="F132" s="21"/>
    </row>
    <row r="133" spans="6:6" x14ac:dyDescent="0.25">
      <c r="F133" s="21"/>
    </row>
    <row r="134" spans="6:6" x14ac:dyDescent="0.25">
      <c r="F134" s="21"/>
    </row>
    <row r="135" spans="6:6" x14ac:dyDescent="0.25">
      <c r="F135" s="21"/>
    </row>
    <row r="136" spans="6:6" x14ac:dyDescent="0.25">
      <c r="F136" s="21"/>
    </row>
    <row r="137" spans="6:6" x14ac:dyDescent="0.25">
      <c r="F137" s="21"/>
    </row>
    <row r="138" spans="6:6" x14ac:dyDescent="0.25">
      <c r="F138" s="21"/>
    </row>
    <row r="139" spans="6:6" x14ac:dyDescent="0.25">
      <c r="F139" s="21"/>
    </row>
    <row r="140" spans="6:6" x14ac:dyDescent="0.25">
      <c r="F140" s="21"/>
    </row>
    <row r="141" spans="6:6" x14ac:dyDescent="0.25">
      <c r="F141" s="21"/>
    </row>
    <row r="142" spans="6:6" x14ac:dyDescent="0.25">
      <c r="F142" s="21"/>
    </row>
    <row r="143" spans="6:6" x14ac:dyDescent="0.25">
      <c r="F143" s="21"/>
    </row>
    <row r="144" spans="6:6" x14ac:dyDescent="0.25">
      <c r="F144" s="21"/>
    </row>
    <row r="145" spans="6:6" x14ac:dyDescent="0.25">
      <c r="F145" s="21"/>
    </row>
    <row r="146" spans="6:6" x14ac:dyDescent="0.25">
      <c r="F146" s="21"/>
    </row>
    <row r="147" spans="6:6" x14ac:dyDescent="0.25">
      <c r="F147" s="21"/>
    </row>
    <row r="148" spans="6:6" x14ac:dyDescent="0.25">
      <c r="F148" s="21"/>
    </row>
    <row r="149" spans="6:6" x14ac:dyDescent="0.25">
      <c r="F149" s="21"/>
    </row>
    <row r="150" spans="6:6" x14ac:dyDescent="0.25">
      <c r="F150" s="21"/>
    </row>
    <row r="151" spans="6:6" x14ac:dyDescent="0.25">
      <c r="F151" s="21"/>
    </row>
    <row r="152" spans="6:6" x14ac:dyDescent="0.25">
      <c r="F152" s="21"/>
    </row>
    <row r="153" spans="6:6" x14ac:dyDescent="0.25">
      <c r="F153" s="21"/>
    </row>
    <row r="154" spans="6:6" x14ac:dyDescent="0.25">
      <c r="F154" s="21"/>
    </row>
    <row r="155" spans="6:6" x14ac:dyDescent="0.25">
      <c r="F155" s="21"/>
    </row>
    <row r="156" spans="6:6" x14ac:dyDescent="0.25">
      <c r="F156" s="21"/>
    </row>
    <row r="157" spans="6:6" x14ac:dyDescent="0.25">
      <c r="F157" s="21"/>
    </row>
    <row r="158" spans="6:6" x14ac:dyDescent="0.25">
      <c r="F158" s="21"/>
    </row>
    <row r="159" spans="6:6" x14ac:dyDescent="0.25">
      <c r="F159" s="21"/>
    </row>
    <row r="160" spans="6:6" x14ac:dyDescent="0.25">
      <c r="F160" s="21"/>
    </row>
    <row r="161" spans="6:6" x14ac:dyDescent="0.25">
      <c r="F161" s="21"/>
    </row>
    <row r="162" spans="6:6" x14ac:dyDescent="0.25">
      <c r="F162" s="21"/>
    </row>
    <row r="163" spans="6:6" x14ac:dyDescent="0.25">
      <c r="F163" s="21"/>
    </row>
    <row r="164" spans="6:6" x14ac:dyDescent="0.25">
      <c r="F164" s="21"/>
    </row>
    <row r="165" spans="6:6" x14ac:dyDescent="0.25">
      <c r="F165" s="21"/>
    </row>
    <row r="166" spans="6:6" x14ac:dyDescent="0.25">
      <c r="F166" s="21"/>
    </row>
    <row r="167" spans="6:6" x14ac:dyDescent="0.25">
      <c r="F167" s="21"/>
    </row>
    <row r="168" spans="6:6" x14ac:dyDescent="0.25">
      <c r="F168" s="21"/>
    </row>
    <row r="169" spans="6:6" x14ac:dyDescent="0.25">
      <c r="F169" s="21"/>
    </row>
    <row r="170" spans="6:6" x14ac:dyDescent="0.25">
      <c r="F170" s="21"/>
    </row>
    <row r="171" spans="6:6" x14ac:dyDescent="0.25">
      <c r="F171" s="21"/>
    </row>
    <row r="172" spans="6:6" x14ac:dyDescent="0.25">
      <c r="F172" s="21"/>
    </row>
    <row r="173" spans="6:6" x14ac:dyDescent="0.25">
      <c r="F173" s="21"/>
    </row>
    <row r="174" spans="6:6" x14ac:dyDescent="0.25">
      <c r="F174" s="21"/>
    </row>
    <row r="175" spans="6:6" x14ac:dyDescent="0.25">
      <c r="F175" s="21"/>
    </row>
    <row r="176" spans="6:6" x14ac:dyDescent="0.25">
      <c r="F176" s="21"/>
    </row>
    <row r="177" spans="6:6" x14ac:dyDescent="0.25">
      <c r="F177" s="21"/>
    </row>
    <row r="178" spans="6:6" x14ac:dyDescent="0.25">
      <c r="F178" s="21"/>
    </row>
    <row r="179" spans="6:6" x14ac:dyDescent="0.25">
      <c r="F179" s="21"/>
    </row>
    <row r="180" spans="6:6" x14ac:dyDescent="0.25">
      <c r="F180" s="21"/>
    </row>
    <row r="181" spans="6:6" x14ac:dyDescent="0.25">
      <c r="F181" s="21"/>
    </row>
    <row r="182" spans="6:6" x14ac:dyDescent="0.25">
      <c r="F182" s="21"/>
    </row>
    <row r="183" spans="6:6" x14ac:dyDescent="0.25">
      <c r="F183" s="21"/>
    </row>
    <row r="184" spans="6:6" x14ac:dyDescent="0.25">
      <c r="F184" s="21"/>
    </row>
    <row r="185" spans="6:6" x14ac:dyDescent="0.25">
      <c r="F185" s="21"/>
    </row>
    <row r="186" spans="6:6" x14ac:dyDescent="0.25">
      <c r="F186" s="21"/>
    </row>
    <row r="187" spans="6:6" x14ac:dyDescent="0.25">
      <c r="F187" s="21"/>
    </row>
    <row r="188" spans="6:6" x14ac:dyDescent="0.25">
      <c r="F188" s="21"/>
    </row>
    <row r="189" spans="6:6" x14ac:dyDescent="0.25">
      <c r="F189" s="21"/>
    </row>
    <row r="190" spans="6:6" x14ac:dyDescent="0.25">
      <c r="F190" s="21"/>
    </row>
    <row r="191" spans="6:6" x14ac:dyDescent="0.25">
      <c r="F191" s="21"/>
    </row>
    <row r="192" spans="6:6" x14ac:dyDescent="0.25">
      <c r="F192" s="21"/>
    </row>
    <row r="193" spans="6:6" x14ac:dyDescent="0.25">
      <c r="F193" s="21"/>
    </row>
    <row r="194" spans="6:6" x14ac:dyDescent="0.25">
      <c r="F194" s="21"/>
    </row>
    <row r="195" spans="6:6" x14ac:dyDescent="0.25">
      <c r="F195" s="21"/>
    </row>
    <row r="196" spans="6:6" x14ac:dyDescent="0.25">
      <c r="F196" s="21"/>
    </row>
    <row r="197" spans="6:6" x14ac:dyDescent="0.25">
      <c r="F197" s="21"/>
    </row>
    <row r="198" spans="6:6" x14ac:dyDescent="0.25">
      <c r="F198" s="21"/>
    </row>
    <row r="199" spans="6:6" x14ac:dyDescent="0.25">
      <c r="F199" s="21"/>
    </row>
    <row r="200" spans="6:6" x14ac:dyDescent="0.25">
      <c r="F200" s="21"/>
    </row>
    <row r="201" spans="6:6" x14ac:dyDescent="0.25">
      <c r="F201" s="21"/>
    </row>
    <row r="202" spans="6:6" x14ac:dyDescent="0.25">
      <c r="F202" s="21"/>
    </row>
    <row r="203" spans="6:6" x14ac:dyDescent="0.25">
      <c r="F203" s="21"/>
    </row>
    <row r="204" spans="6:6" x14ac:dyDescent="0.25">
      <c r="F204" s="21"/>
    </row>
    <row r="205" spans="6:6" x14ac:dyDescent="0.25">
      <c r="F205" s="21"/>
    </row>
    <row r="206" spans="6:6" x14ac:dyDescent="0.25">
      <c r="F206" s="21"/>
    </row>
    <row r="207" spans="6:6" x14ac:dyDescent="0.25">
      <c r="F207" s="21"/>
    </row>
    <row r="208" spans="6:6" x14ac:dyDescent="0.25">
      <c r="F208" s="21"/>
    </row>
    <row r="209" spans="6:6" x14ac:dyDescent="0.25">
      <c r="F209" s="21"/>
    </row>
    <row r="210" spans="6:6" x14ac:dyDescent="0.25">
      <c r="F210" s="21"/>
    </row>
    <row r="211" spans="6:6" x14ac:dyDescent="0.25">
      <c r="F211" s="21"/>
    </row>
    <row r="212" spans="6:6" x14ac:dyDescent="0.25">
      <c r="F212" s="21"/>
    </row>
    <row r="213" spans="6:6" x14ac:dyDescent="0.25">
      <c r="F213" s="21"/>
    </row>
    <row r="214" spans="6:6" x14ac:dyDescent="0.25">
      <c r="F214" s="21"/>
    </row>
    <row r="215" spans="6:6" x14ac:dyDescent="0.25">
      <c r="F215" s="21"/>
    </row>
    <row r="216" spans="6:6" x14ac:dyDescent="0.25">
      <c r="F216" s="21"/>
    </row>
    <row r="217" spans="6:6" x14ac:dyDescent="0.25">
      <c r="F217" s="21"/>
    </row>
    <row r="218" spans="6:6" x14ac:dyDescent="0.25">
      <c r="F218" s="21"/>
    </row>
    <row r="219" spans="6:6" x14ac:dyDescent="0.25">
      <c r="F219" s="21"/>
    </row>
    <row r="220" spans="6:6" x14ac:dyDescent="0.25">
      <c r="F220" s="21"/>
    </row>
    <row r="221" spans="6:6" x14ac:dyDescent="0.25">
      <c r="F221" s="21"/>
    </row>
    <row r="222" spans="6:6" x14ac:dyDescent="0.25">
      <c r="F222" s="21"/>
    </row>
    <row r="223" spans="6:6" x14ac:dyDescent="0.25">
      <c r="F223" s="21"/>
    </row>
    <row r="224" spans="6:6" x14ac:dyDescent="0.25">
      <c r="F224" s="21"/>
    </row>
    <row r="225" spans="6:6" x14ac:dyDescent="0.25">
      <c r="F225" s="21"/>
    </row>
    <row r="226" spans="6:6" x14ac:dyDescent="0.25">
      <c r="F226" s="21"/>
    </row>
    <row r="227" spans="6:6" x14ac:dyDescent="0.25">
      <c r="F227" s="21"/>
    </row>
    <row r="228" spans="6:6" x14ac:dyDescent="0.25">
      <c r="F228" s="21"/>
    </row>
    <row r="229" spans="6:6" x14ac:dyDescent="0.25">
      <c r="F229" s="21"/>
    </row>
    <row r="230" spans="6:6" x14ac:dyDescent="0.25">
      <c r="F230" s="21"/>
    </row>
    <row r="231" spans="6:6" x14ac:dyDescent="0.25">
      <c r="F231" s="21"/>
    </row>
    <row r="232" spans="6:6" x14ac:dyDescent="0.25">
      <c r="F232" s="21"/>
    </row>
    <row r="233" spans="6:6" x14ac:dyDescent="0.25">
      <c r="F233" s="21"/>
    </row>
    <row r="234" spans="6:6" x14ac:dyDescent="0.25">
      <c r="F234" s="21"/>
    </row>
    <row r="235" spans="6:6" x14ac:dyDescent="0.25">
      <c r="F235" s="21"/>
    </row>
    <row r="236" spans="6:6" x14ac:dyDescent="0.25">
      <c r="F236" s="21"/>
    </row>
    <row r="237" spans="6:6" x14ac:dyDescent="0.25">
      <c r="F237" s="21"/>
    </row>
    <row r="238" spans="6:6" x14ac:dyDescent="0.25">
      <c r="F238" s="21"/>
    </row>
    <row r="239" spans="6:6" x14ac:dyDescent="0.25">
      <c r="F239" s="21"/>
    </row>
    <row r="240" spans="6:6" x14ac:dyDescent="0.25">
      <c r="F240" s="21"/>
    </row>
    <row r="241" spans="6:6" x14ac:dyDescent="0.25">
      <c r="F241" s="21"/>
    </row>
    <row r="242" spans="6:6" x14ac:dyDescent="0.25">
      <c r="F242" s="21"/>
    </row>
    <row r="243" spans="6:6" x14ac:dyDescent="0.25">
      <c r="F243" s="21"/>
    </row>
    <row r="244" spans="6:6" x14ac:dyDescent="0.25">
      <c r="F244" s="21"/>
    </row>
    <row r="245" spans="6:6" x14ac:dyDescent="0.25">
      <c r="F245" s="21"/>
    </row>
    <row r="246" spans="6:6" x14ac:dyDescent="0.25">
      <c r="F246" s="21"/>
    </row>
    <row r="247" spans="6:6" x14ac:dyDescent="0.25">
      <c r="F247" s="21"/>
    </row>
    <row r="248" spans="6:6" x14ac:dyDescent="0.25">
      <c r="F248" s="21"/>
    </row>
    <row r="249" spans="6:6" x14ac:dyDescent="0.25">
      <c r="F249" s="21"/>
    </row>
    <row r="250" spans="6:6" x14ac:dyDescent="0.25">
      <c r="F250" s="21"/>
    </row>
    <row r="251" spans="6:6" x14ac:dyDescent="0.25">
      <c r="F251" s="21"/>
    </row>
    <row r="252" spans="6:6" x14ac:dyDescent="0.25">
      <c r="F252" s="21"/>
    </row>
    <row r="253" spans="6:6" x14ac:dyDescent="0.25">
      <c r="F253" s="21"/>
    </row>
    <row r="254" spans="6:6" x14ac:dyDescent="0.25">
      <c r="F254" s="21"/>
    </row>
    <row r="255" spans="6:6" x14ac:dyDescent="0.25">
      <c r="F255" s="21"/>
    </row>
    <row r="256" spans="6:6" x14ac:dyDescent="0.25">
      <c r="F256" s="21"/>
    </row>
    <row r="257" spans="6:6" x14ac:dyDescent="0.25">
      <c r="F257" s="21"/>
    </row>
    <row r="258" spans="6:6" x14ac:dyDescent="0.25">
      <c r="F258" s="21"/>
    </row>
    <row r="259" spans="6:6" x14ac:dyDescent="0.25">
      <c r="F259" s="21"/>
    </row>
    <row r="260" spans="6:6" x14ac:dyDescent="0.25">
      <c r="F260" s="21"/>
    </row>
    <row r="261" spans="6:6" x14ac:dyDescent="0.25">
      <c r="F261" s="21"/>
    </row>
    <row r="262" spans="6:6" x14ac:dyDescent="0.25">
      <c r="F262" s="21"/>
    </row>
    <row r="263" spans="6:6" x14ac:dyDescent="0.25">
      <c r="F263" s="21"/>
    </row>
    <row r="264" spans="6:6" x14ac:dyDescent="0.25">
      <c r="F264" s="21"/>
    </row>
    <row r="265" spans="6:6" x14ac:dyDescent="0.25">
      <c r="F265" s="21"/>
    </row>
    <row r="266" spans="6:6" x14ac:dyDescent="0.25">
      <c r="F266" s="21"/>
    </row>
    <row r="267" spans="6:6" x14ac:dyDescent="0.25">
      <c r="F267" s="21"/>
    </row>
    <row r="268" spans="6:6" x14ac:dyDescent="0.25">
      <c r="F268" s="21"/>
    </row>
    <row r="269" spans="6:6" x14ac:dyDescent="0.25">
      <c r="F269" s="21"/>
    </row>
    <row r="270" spans="6:6" x14ac:dyDescent="0.25">
      <c r="F270" s="21"/>
    </row>
    <row r="271" spans="6:6" x14ac:dyDescent="0.25">
      <c r="F271" s="21"/>
    </row>
    <row r="272" spans="6:6" x14ac:dyDescent="0.25">
      <c r="F272" s="21"/>
    </row>
    <row r="273" spans="6:6" x14ac:dyDescent="0.25">
      <c r="F273" s="21"/>
    </row>
    <row r="274" spans="6:6" x14ac:dyDescent="0.25">
      <c r="F274" s="21"/>
    </row>
    <row r="275" spans="6:6" x14ac:dyDescent="0.25">
      <c r="F275" s="21"/>
    </row>
    <row r="276" spans="6:6" x14ac:dyDescent="0.25">
      <c r="F276" s="21"/>
    </row>
    <row r="277" spans="6:6" x14ac:dyDescent="0.25">
      <c r="F277" s="21"/>
    </row>
    <row r="278" spans="6:6" x14ac:dyDescent="0.25">
      <c r="F278" s="21"/>
    </row>
    <row r="279" spans="6:6" x14ac:dyDescent="0.25">
      <c r="F279" s="21"/>
    </row>
    <row r="280" spans="6:6" x14ac:dyDescent="0.25">
      <c r="F280" s="21"/>
    </row>
    <row r="281" spans="6:6" x14ac:dyDescent="0.25">
      <c r="F281" s="21"/>
    </row>
    <row r="282" spans="6:6" x14ac:dyDescent="0.25">
      <c r="F282" s="21"/>
    </row>
    <row r="283" spans="6:6" x14ac:dyDescent="0.25">
      <c r="F283" s="21"/>
    </row>
    <row r="284" spans="6:6" x14ac:dyDescent="0.25">
      <c r="F284" s="21"/>
    </row>
    <row r="285" spans="6:6" x14ac:dyDescent="0.25">
      <c r="F285" s="21"/>
    </row>
    <row r="286" spans="6:6" x14ac:dyDescent="0.25">
      <c r="F286" s="21"/>
    </row>
    <row r="287" spans="6:6" x14ac:dyDescent="0.25">
      <c r="F287" s="21"/>
    </row>
    <row r="288" spans="6:6" x14ac:dyDescent="0.25">
      <c r="F288" s="21"/>
    </row>
    <row r="289" spans="1:11" x14ac:dyDescent="0.25">
      <c r="F289" s="21"/>
    </row>
    <row r="290" spans="1:11" x14ac:dyDescent="0.25">
      <c r="F290" s="21"/>
    </row>
    <row r="291" spans="1:11" x14ac:dyDescent="0.25">
      <c r="F291" s="21"/>
    </row>
    <row r="292" spans="1:11" x14ac:dyDescent="0.25">
      <c r="F292" s="21"/>
    </row>
    <row r="293" spans="1:11" x14ac:dyDescent="0.25">
      <c r="F293" s="21"/>
    </row>
    <row r="294" spans="1:11" x14ac:dyDescent="0.25">
      <c r="F294" s="21"/>
    </row>
    <row r="295" spans="1:11" x14ac:dyDescent="0.25">
      <c r="F295" s="21"/>
    </row>
    <row r="296" spans="1:11" x14ac:dyDescent="0.25">
      <c r="F296" s="21"/>
    </row>
    <row r="297" spans="1:11" x14ac:dyDescent="0.25">
      <c r="F297" s="21"/>
    </row>
    <row r="298" spans="1:11" x14ac:dyDescent="0.25">
      <c r="F298" s="21"/>
    </row>
    <row r="299" spans="1:11" x14ac:dyDescent="0.25">
      <c r="F299" s="21"/>
    </row>
    <row r="300" spans="1:11" x14ac:dyDescent="0.25">
      <c r="F300" s="21"/>
    </row>
    <row r="301" spans="1:11" x14ac:dyDescent="0.25">
      <c r="A301" s="23"/>
      <c r="B301" s="23"/>
      <c r="C301" s="23"/>
      <c r="D301" s="23"/>
      <c r="E301" s="25"/>
      <c r="F301" s="16"/>
      <c r="G301" s="16"/>
      <c r="H301" s="16"/>
      <c r="I301" s="70"/>
      <c r="J301" s="26"/>
      <c r="K301" s="16"/>
    </row>
  </sheetData>
  <sheetProtection formatCells="0" formatColumns="0" formatRows="0" insertColumns="0" insertRows="0" insertHyperlinks="0" deleteColumns="0" deleteRows="0" sort="0" autoFilter="0" pivotTables="0"/>
  <mergeCells count="4">
    <mergeCell ref="A8:E9"/>
    <mergeCell ref="G8:K9"/>
    <mergeCell ref="F1:K7"/>
    <mergeCell ref="A1:E7"/>
  </mergeCells>
  <conditionalFormatting sqref="C8:C1048576">
    <cfRule type="endsWith" dxfId="1599" priority="1" operator="endsWith" text="PRÉVIO">
      <formula>RIGHT(C8,LEN("PRÉVIO"))="PRÉVIO"</formula>
    </cfRule>
    <cfRule type="cellIs" dxfId="1598" priority="2" operator="equal">
      <formula>"ULTIMO DIA DE CONTRATO"</formula>
    </cfRule>
    <cfRule type="cellIs" dxfId="1597" priority="3" operator="equal">
      <formula>"1 Dia(s) Restante do CONTRATO"</formula>
    </cfRule>
    <cfRule type="cellIs" dxfId="1596" priority="4" operator="equal">
      <formula>"2 Dia(s) Restante do CONTRATO"</formula>
    </cfRule>
    <cfRule type="cellIs" dxfId="1595" priority="5" operator="equal">
      <formula>"3 Dia(s) Restante do CONTRATO"</formula>
    </cfRule>
    <cfRule type="expression" dxfId="1594" priority="6">
      <formula>IF(RIGHT(6),"Prévio")</formula>
    </cfRule>
    <cfRule type="cellIs" dxfId="1593" priority="7" operator="equal">
      <formula>"EFETIVO"</formula>
    </cfRule>
  </conditionalFormatting>
  <conditionalFormatting sqref="C10:C1048576">
    <cfRule type="cellIs" dxfId="1592" priority="26" operator="equal">
      <formula>"AFASTADO"</formula>
    </cfRule>
    <cfRule type="cellIs" dxfId="1591" priority="27" operator="equal">
      <formula>"DESLIGADO"</formula>
    </cfRule>
  </conditionalFormatting>
  <conditionalFormatting sqref="C10:E1048576 A1">
    <cfRule type="cellIs" dxfId="1590" priority="41" operator="equal">
      <formula>"1 Dia(s) Restante"</formula>
    </cfRule>
    <cfRule type="cellIs" dxfId="1589" priority="42" operator="equal">
      <formula>"2 Dia(s) Restante"</formula>
    </cfRule>
    <cfRule type="cellIs" dxfId="1588" priority="43" operator="equal">
      <formula>"3 Dia(s) Restante"</formula>
    </cfRule>
    <cfRule type="cellIs" dxfId="1587" priority="44" operator="equal">
      <formula>"ULTIMO DIA DO ASO"</formula>
    </cfRule>
    <cfRule type="cellIs" dxfId="1586" priority="45" operator="equal">
      <formula>"VENCIDO"</formula>
    </cfRule>
  </conditionalFormatting>
  <conditionalFormatting sqref="D8:D1048576">
    <cfRule type="timePeriod" dxfId="1585" priority="13" timePeriod="thisMonth">
      <formula>AND(MONTH(D8)=MONTH(TODAY()),YEAR(D8)=YEAR(TODAY()))</formula>
    </cfRule>
  </conditionalFormatting>
  <conditionalFormatting sqref="D10:D1048576">
    <cfRule type="cellIs" dxfId="1584" priority="17" operator="equal">
      <formula>"DENTRO DO PRAZO"</formula>
    </cfRule>
  </conditionalFormatting>
  <conditionalFormatting sqref="D10:F10">
    <cfRule type="cellIs" dxfId="1583" priority="24" operator="equal">
      <formula>"AFASTADO"</formula>
    </cfRule>
    <cfRule type="cellIs" dxfId="1582" priority="25" operator="equal">
      <formula>"DESLIGADO"</formula>
    </cfRule>
  </conditionalFormatting>
  <conditionalFormatting sqref="F10">
    <cfRule type="cellIs" dxfId="1581" priority="18" operator="equal">
      <formula>"EFETIVO"</formula>
    </cfRule>
    <cfRule type="cellIs" dxfId="1580" priority="19" operator="equal">
      <formula>"1 Dia(s) Restante"</formula>
    </cfRule>
    <cfRule type="cellIs" dxfId="1579" priority="20" operator="equal">
      <formula>"2 Dia(s) Restante"</formula>
    </cfRule>
    <cfRule type="cellIs" dxfId="1578" priority="21" operator="equal">
      <formula>"3 Dia(s) Restante"</formula>
    </cfRule>
    <cfRule type="cellIs" dxfId="1577" priority="22" operator="equal">
      <formula>"ULTIMO DIA DO ASO"</formula>
    </cfRule>
    <cfRule type="cellIs" dxfId="1576" priority="23" operator="equal">
      <formula>"VENCIDO"</formula>
    </cfRule>
  </conditionalFormatting>
  <conditionalFormatting sqref="I11:I1048576 I8:I9">
    <cfRule type="notContainsBlanks" dxfId="1575" priority="47">
      <formula>LEN(TRIM(I8))&gt;0</formula>
    </cfRule>
  </conditionalFormatting>
  <conditionalFormatting sqref="I11:I1048576">
    <cfRule type="cellIs" dxfId="1574" priority="16" operator="equal">
      <formula>"ULTIMO DIA"</formula>
    </cfRule>
    <cfRule type="cellIs" dxfId="1573" priority="34" operator="equal">
      <formula>"EFETIVO"</formula>
    </cfRule>
    <cfRule type="cellIs" dxfId="1572" priority="35" operator="equal">
      <formula>"1 Dia(s) Restante"</formula>
    </cfRule>
    <cfRule type="cellIs" dxfId="1571" priority="36" operator="equal">
      <formula>"2 Dia(s) Restante"</formula>
    </cfRule>
    <cfRule type="cellIs" dxfId="1570" priority="37" operator="equal">
      <formula>"3 Dia(s) Restante"</formula>
    </cfRule>
    <cfRule type="cellIs" dxfId="1569" priority="38" operator="equal">
      <formula>"ULTIMO DIA DE CONTRATO"</formula>
    </cfRule>
    <cfRule type="cellIs" dxfId="1568" priority="39" operator="equal">
      <formula>"VENCIDO"</formula>
    </cfRule>
  </conditionalFormatting>
  <conditionalFormatting sqref="J8:J1048576">
    <cfRule type="timePeriod" dxfId="1567" priority="12" timePeriod="thisMonth">
      <formula>AND(MONTH(J8)=MONTH(TODAY()),YEAR(J8)=YEAR(TODAY()))</formula>
    </cfRule>
  </conditionalFormatting>
  <conditionalFormatting sqref="J10">
    <cfRule type="cellIs" dxfId="1566" priority="28" operator="equal">
      <formula>"EFETIVO"</formula>
    </cfRule>
    <cfRule type="cellIs" dxfId="1565" priority="29" operator="equal">
      <formula>"1 Dia(s) Restante"</formula>
    </cfRule>
    <cfRule type="cellIs" dxfId="1564" priority="30" operator="equal">
      <formula>"2 Dia(s) Restante"</formula>
    </cfRule>
    <cfRule type="cellIs" dxfId="1563" priority="31" operator="equal">
      <formula>"3 Dia(s) Restante"</formula>
    </cfRule>
    <cfRule type="cellIs" dxfId="1562" priority="32" operator="equal">
      <formula>"ULTIMO DIA DE CONTRATO"</formula>
    </cfRule>
    <cfRule type="cellIs" dxfId="1561" priority="33" operator="equal">
      <formula>"VENCIDO"</formula>
    </cfRule>
  </conditionalFormatting>
  <pageMargins left="0.12" right="0.12" top="0.18" bottom="0.22" header="0.12" footer="0.31496062000000002"/>
  <pageSetup paperSize="9" scale="55" fitToHeight="0" orientation="landscape" horizontalDpi="0" verticalDpi="0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7F8-0B70-42A8-8307-F2BF2743F896}">
  <sheetPr>
    <pageSetUpPr fitToPage="1"/>
  </sheetPr>
  <dimension ref="A1:K611"/>
  <sheetViews>
    <sheetView showGridLines="0" workbookViewId="0">
      <pane ySplit="2" topLeftCell="A26" activePane="bottomLeft" state="frozen"/>
      <selection pane="bottomLeft" activeCell="F56" sqref="F56"/>
    </sheetView>
  </sheetViews>
  <sheetFormatPr defaultColWidth="0" defaultRowHeight="15" x14ac:dyDescent="0.25"/>
  <cols>
    <col min="1" max="1" width="44.140625" style="2" customWidth="1"/>
    <col min="2" max="2" width="33.140625" style="2" customWidth="1"/>
    <col min="3" max="3" width="15.28515625" style="2" bestFit="1" customWidth="1"/>
    <col min="4" max="4" width="27.42578125" style="2" bestFit="1" customWidth="1"/>
    <col min="5" max="5" width="17.85546875" style="2" bestFit="1" customWidth="1"/>
    <col min="6" max="6" width="26.7109375" style="2" bestFit="1" customWidth="1"/>
    <col min="7" max="7" width="26.7109375" style="10" customWidth="1"/>
    <col min="8" max="8" width="26.7109375" style="28" customWidth="1"/>
    <col min="9" max="9" width="32.28515625" bestFit="1" customWidth="1"/>
    <col min="10" max="10" width="32.28515625" customWidth="1"/>
    <col min="11" max="11" width="33.28515625" customWidth="1"/>
    <col min="12" max="16384" width="9.140625" hidden="1"/>
  </cols>
  <sheetData>
    <row r="1" spans="1:11" ht="78" customHeight="1" x14ac:dyDescent="0.25">
      <c r="A1" s="76"/>
      <c r="B1" s="76"/>
      <c r="C1" s="76"/>
      <c r="D1" s="76"/>
      <c r="E1" s="77"/>
      <c r="F1" s="77"/>
      <c r="G1" s="56"/>
      <c r="H1" s="57"/>
      <c r="I1" s="20"/>
      <c r="J1" s="20"/>
      <c r="K1" s="17">
        <f ca="1">NOW()</f>
        <v>46318.604432175925</v>
      </c>
    </row>
    <row r="2" spans="1:11" x14ac:dyDescent="0.25">
      <c r="A2" s="4" t="s">
        <v>0</v>
      </c>
      <c r="B2" s="4" t="s">
        <v>1</v>
      </c>
      <c r="C2" s="4" t="s">
        <v>2</v>
      </c>
      <c r="D2" s="3" t="s">
        <v>13</v>
      </c>
      <c r="E2" s="4" t="s">
        <v>3</v>
      </c>
      <c r="F2" s="4" t="s">
        <v>12</v>
      </c>
      <c r="G2" s="5" t="s">
        <v>35</v>
      </c>
      <c r="H2" s="66" t="s">
        <v>36</v>
      </c>
      <c r="I2" s="67" t="s">
        <v>38</v>
      </c>
      <c r="J2" s="67" t="s">
        <v>60</v>
      </c>
      <c r="K2" s="67" t="s">
        <v>32</v>
      </c>
    </row>
    <row r="3" spans="1:11" x14ac:dyDescent="0.25">
      <c r="A3" s="4" t="s">
        <v>69</v>
      </c>
      <c r="B3" s="4" t="s">
        <v>31</v>
      </c>
      <c r="C3" s="5">
        <v>44880</v>
      </c>
      <c r="D3" s="6">
        <v>44909</v>
      </c>
      <c r="E3" s="4" t="s">
        <v>7</v>
      </c>
      <c r="F3" s="4" t="s">
        <v>6</v>
      </c>
      <c r="G3" s="5">
        <v>46147</v>
      </c>
      <c r="H3" s="19">
        <f>IF(Tabela2[[#This Row],[REALIZAÇÃO DO ASO]]="","",Tabela2[[#This Row],[REALIZAÇÃO DO ASO]]+365)</f>
        <v>46512</v>
      </c>
      <c r="I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194 Dia(s) Restante</v>
      </c>
      <c r="J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COLABORADOR]]="AFASTADO","AFASTADO",IF(D3&gt;TODAY(),_xlfn.DAYS(D3,TODAY())&amp;" Dia(s) Restante do "&amp;Tabela2[[#This Row],[STATUS COLABORADOR]],IF(D3&lt;TODAY(),"VENCIDO",IF(D3=TODAY(),"ULTIMO DIA DE CONTRATO",)))))))),"")</f>
        <v>EFETIVO</v>
      </c>
    </row>
    <row r="4" spans="1:11" x14ac:dyDescent="0.25">
      <c r="A4" s="4" t="s">
        <v>40</v>
      </c>
      <c r="B4" s="4" t="s">
        <v>41</v>
      </c>
      <c r="C4" s="5">
        <v>44959</v>
      </c>
      <c r="D4" s="6">
        <v>44959</v>
      </c>
      <c r="E4" s="4" t="s">
        <v>5</v>
      </c>
      <c r="F4" s="4" t="s">
        <v>6</v>
      </c>
      <c r="G4" s="5">
        <v>46048</v>
      </c>
      <c r="H4" s="19">
        <f>IF(Tabela2[[#This Row],[REALIZAÇÃO DO ASO]]="","",Tabela2[[#This Row],[REALIZAÇÃO DO ASO]]+365)</f>
        <v>46413</v>
      </c>
      <c r="I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95 Dia(s) Restante</v>
      </c>
      <c r="J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COLABORADOR]]="AFASTADO","AFASTADO",IF(D4&gt;TODAY(),_xlfn.DAYS(D4,TODAY())&amp;" Dia(s) Restante do "&amp;Tabela2[[#This Row],[STATUS COLABORADOR]],IF(D4&lt;TODAY(),"VENCIDO",IF(D4=TODAY(),"ULTIMO DIA DE CONTRATO",)))))))),"")</f>
        <v>EFETIVO</v>
      </c>
    </row>
    <row r="5" spans="1:11" x14ac:dyDescent="0.25">
      <c r="A5" s="4" t="s">
        <v>42</v>
      </c>
      <c r="B5" s="4" t="s">
        <v>16</v>
      </c>
      <c r="C5" s="5">
        <v>44958</v>
      </c>
      <c r="D5" s="6">
        <v>44958</v>
      </c>
      <c r="E5" s="4" t="s">
        <v>5</v>
      </c>
      <c r="F5" s="4" t="s">
        <v>6</v>
      </c>
      <c r="G5" s="5">
        <v>46048</v>
      </c>
      <c r="H5" s="19">
        <f>IF(Tabela2[[#This Row],[REALIZAÇÃO DO ASO]]="","",Tabela2[[#This Row],[REALIZAÇÃO DO ASO]]+365)</f>
        <v>46413</v>
      </c>
      <c r="I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95 Dia(s) Restante</v>
      </c>
      <c r="J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COLABORADOR]]="AFASTADO","AFASTADO",IF(D5&gt;TODAY(),_xlfn.DAYS(D5,TODAY())&amp;" Dia(s) Restante do "&amp;Tabela2[[#This Row],[STATUS COLABORADOR]],IF(D5&lt;TODAY(),"VENCIDO",IF(D5=TODAY(),"ULTIMO DIA DE CONTRATO",)))))))),"")</f>
        <v>EFETIVO</v>
      </c>
    </row>
    <row r="6" spans="1:11" x14ac:dyDescent="0.25">
      <c r="A6" s="4" t="s">
        <v>43</v>
      </c>
      <c r="B6" s="4" t="s">
        <v>44</v>
      </c>
      <c r="C6" s="5">
        <v>42534</v>
      </c>
      <c r="D6" s="6">
        <v>42534</v>
      </c>
      <c r="E6" s="4" t="s">
        <v>5</v>
      </c>
      <c r="F6" s="4" t="s">
        <v>6</v>
      </c>
      <c r="G6" s="5">
        <v>46134</v>
      </c>
      <c r="H6" s="19">
        <f>IF(Tabela2[[#This Row],[REALIZAÇÃO DO ASO]]="","",Tabela2[[#This Row],[REALIZAÇÃO DO ASO]]+365)</f>
        <v>46499</v>
      </c>
      <c r="I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181 Dia(s) Restante</v>
      </c>
      <c r="J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COLABORADOR]]="AFASTADO","AFASTADO",IF(D6&gt;TODAY(),_xlfn.DAYS(D6,TODAY())&amp;" Dia(s) Restante do "&amp;Tabela2[[#This Row],[STATUS COLABORADOR]],IF(D6&lt;TODAY(),"VENCIDO",IF(D6=TODAY(),"ULTIMO DIA DE CONTRATO",)))))))),"")</f>
        <v>EFETIVO</v>
      </c>
    </row>
    <row r="7" spans="1:11" hidden="1" x14ac:dyDescent="0.25">
      <c r="A7" s="4" t="s">
        <v>45</v>
      </c>
      <c r="B7" s="4" t="s">
        <v>44</v>
      </c>
      <c r="C7" s="5">
        <v>45225</v>
      </c>
      <c r="D7" s="6">
        <v>45314</v>
      </c>
      <c r="E7" s="4" t="s">
        <v>5</v>
      </c>
      <c r="F7" s="4" t="s">
        <v>9</v>
      </c>
      <c r="G7" s="5">
        <v>45582</v>
      </c>
      <c r="H7" s="19">
        <f>IF(Tabela2[[#This Row],[REALIZAÇÃO DO ASO]]="","",Tabela2[[#This Row],[REALIZAÇÃO DO ASO]]+365)</f>
        <v>45947</v>
      </c>
      <c r="I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COLABORADOR]]="AFASTADO","AFASTADO",IF(D7&gt;TODAY(),_xlfn.DAYS(D7,TODAY())&amp;" Dia(s) Restante do "&amp;Tabela2[[#This Row],[STATUS COLABORADOR]],IF(D7&lt;TODAY(),"VENCIDO",IF(D7=TODAY(),"ULTIMO DIA DE CONTRATO",)))))))),"")</f>
        <v>DESLIGADO</v>
      </c>
    </row>
    <row r="8" spans="1:11" x14ac:dyDescent="0.25">
      <c r="A8" s="4" t="s">
        <v>46</v>
      </c>
      <c r="B8" s="4" t="s">
        <v>41</v>
      </c>
      <c r="C8" s="5">
        <v>45272</v>
      </c>
      <c r="D8" s="6">
        <v>46106</v>
      </c>
      <c r="E8" s="4" t="s">
        <v>5</v>
      </c>
      <c r="F8" s="4" t="s">
        <v>6</v>
      </c>
      <c r="G8" s="5">
        <v>46064</v>
      </c>
      <c r="H8" s="19">
        <f>IF(Tabela2[[#This Row],[REALIZAÇÃO DO ASO]]="","",Tabela2[[#This Row],[REALIZAÇÃO DO ASO]]+365)</f>
        <v>46429</v>
      </c>
      <c r="I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111 Dia(s) Restante</v>
      </c>
      <c r="J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COLABORADOR]]="AFASTADO","AFASTADO",IF(D8&gt;TODAY(),_xlfn.DAYS(D8,TODAY())&amp;" Dia(s) Restante do "&amp;Tabela2[[#This Row],[STATUS COLABORADOR]],IF(D8&lt;TODAY(),"VENCIDO",IF(D8=TODAY(),"ULTIMO DIA DE CONTRATO",)))))))),"")</f>
        <v>EFETIVO</v>
      </c>
    </row>
    <row r="9" spans="1:11" hidden="1" x14ac:dyDescent="0.25">
      <c r="A9" s="4" t="s">
        <v>47</v>
      </c>
      <c r="B9" s="4" t="s">
        <v>44</v>
      </c>
      <c r="C9" s="5">
        <v>45498</v>
      </c>
      <c r="D9" s="6">
        <v>45542</v>
      </c>
      <c r="E9" s="4" t="s">
        <v>5</v>
      </c>
      <c r="F9" s="4" t="s">
        <v>9</v>
      </c>
      <c r="G9" s="5">
        <v>46183</v>
      </c>
      <c r="H9" s="19">
        <f>IF(Tabela2[[#This Row],[REALIZAÇÃO DO ASO]]="","",Tabela2[[#This Row],[REALIZAÇÃO DO ASO]]+365)</f>
        <v>46548</v>
      </c>
      <c r="I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230 Dia(s) Restante</v>
      </c>
      <c r="J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COLABORADOR]]="AFASTADO","AFASTADO",IF(D9&gt;TODAY(),_xlfn.DAYS(D9,TODAY())&amp;" Dia(s) Restante do "&amp;Tabela2[[#This Row],[STATUS COLABORADOR]],IF(D9&lt;TODAY(),"VENCIDO",IF(D9=TODAY(),"ULTIMO DIA DE CONTRATO",)))))))),"")</f>
        <v>DESLIGADO</v>
      </c>
    </row>
    <row r="10" spans="1:11" x14ac:dyDescent="0.25">
      <c r="A10" s="4" t="s">
        <v>50</v>
      </c>
      <c r="B10" s="4" t="s">
        <v>59</v>
      </c>
      <c r="C10" s="5">
        <v>45559</v>
      </c>
      <c r="D10" s="6">
        <v>45736</v>
      </c>
      <c r="E10" s="4" t="s">
        <v>5</v>
      </c>
      <c r="F10" s="4" t="s">
        <v>6</v>
      </c>
      <c r="G10" s="5">
        <v>46234</v>
      </c>
      <c r="H10" s="19">
        <f>IF(Tabela2[[#This Row],[REALIZAÇÃO DO ASO]]="","",Tabela2[[#This Row],[REALIZAÇÃO DO ASO]]+365)</f>
        <v>46599</v>
      </c>
      <c r="I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281 Dia(s) Restante</v>
      </c>
      <c r="J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COLABORADOR]]="AFASTADO","AFASTADO",IF(D10&gt;TODAY(),_xlfn.DAYS(D10,TODAY())&amp;" Dia(s) Restante do "&amp;Tabela2[[#This Row],[STATUS COLABORADOR]],IF(D10&lt;TODAY(),"VENCIDO",IF(D10=TODAY(),"ULTIMO DIA DE CONTRATO",)))))))),"")</f>
        <v>EFETIVO</v>
      </c>
    </row>
    <row r="11" spans="1:11" x14ac:dyDescent="0.25">
      <c r="A11" s="4" t="s">
        <v>51</v>
      </c>
      <c r="B11" s="4" t="s">
        <v>18</v>
      </c>
      <c r="C11" s="5">
        <v>45572</v>
      </c>
      <c r="D11" s="6">
        <v>45736</v>
      </c>
      <c r="E11" s="4" t="s">
        <v>5</v>
      </c>
      <c r="F11" s="4" t="s">
        <v>6</v>
      </c>
      <c r="G11" s="5">
        <v>46293</v>
      </c>
      <c r="H11" s="19">
        <f>IF(Tabela2[[#This Row],[REALIZAÇÃO DO ASO]]="","",Tabela2[[#This Row],[REALIZAÇÃO DO ASO]]+365)</f>
        <v>46658</v>
      </c>
      <c r="I1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340 Dia(s) Restante</v>
      </c>
      <c r="J1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COLABORADOR]]="AFASTADO","AFASTADO",IF(D11&gt;TODAY(),_xlfn.DAYS(D11,TODAY())&amp;" Dia(s) Restante do "&amp;Tabela2[[#This Row],[STATUS COLABORADOR]],IF(D11&lt;TODAY(),"VENCIDO",IF(D11=TODAY(),"ULTIMO DIA DE CONTRATO",)))))))),"")</f>
        <v>EFETIVO</v>
      </c>
    </row>
    <row r="12" spans="1:11" x14ac:dyDescent="0.25">
      <c r="A12" s="4" t="s">
        <v>52</v>
      </c>
      <c r="B12" s="4" t="s">
        <v>19</v>
      </c>
      <c r="C12" s="5">
        <v>45582</v>
      </c>
      <c r="D12" s="6">
        <v>45736</v>
      </c>
      <c r="E12" s="4" t="s">
        <v>5</v>
      </c>
      <c r="F12" s="4" t="s">
        <v>6</v>
      </c>
      <c r="G12" s="5">
        <v>46297</v>
      </c>
      <c r="H12" s="19">
        <f>IF(Tabela2[[#This Row],[REALIZAÇÃO DO ASO]]="","",Tabela2[[#This Row],[REALIZAÇÃO DO ASO]]+365)</f>
        <v>46662</v>
      </c>
      <c r="I1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344 Dia(s) Restante</v>
      </c>
      <c r="J1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COLABORADOR]]="AFASTADO","AFASTADO",IF(D12&gt;TODAY(),_xlfn.DAYS(D12,TODAY())&amp;" Dia(s) Restante do "&amp;Tabela2[[#This Row],[STATUS COLABORADOR]],IF(D12&lt;TODAY(),"VENCIDO",IF(D12=TODAY(),"ULTIMO DIA DE CONTRATO",)))))))),"")</f>
        <v>EFETIVO</v>
      </c>
    </row>
    <row r="13" spans="1:11" hidden="1" x14ac:dyDescent="0.25">
      <c r="A13" s="4" t="s">
        <v>53</v>
      </c>
      <c r="B13" s="4" t="s">
        <v>19</v>
      </c>
      <c r="C13" s="5">
        <v>45583</v>
      </c>
      <c r="D13" s="6">
        <v>45736</v>
      </c>
      <c r="E13" s="4" t="s">
        <v>5</v>
      </c>
      <c r="F13" s="4" t="s">
        <v>9</v>
      </c>
      <c r="G13" s="5">
        <v>45937</v>
      </c>
      <c r="H13" s="19">
        <f>IF(Tabela2[[#This Row],[REALIZAÇÃO DO ASO]]="","",Tabela2[[#This Row],[REALIZAÇÃO DO ASO]]+365)</f>
        <v>46302</v>
      </c>
      <c r="I1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1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1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COLABORADOR]]="AFASTADO","AFASTADO",IF(D13&gt;TODAY(),_xlfn.DAYS(D13,TODAY())&amp;" Dia(s) Restante do "&amp;Tabela2[[#This Row],[STATUS COLABORADOR]],IF(D13&lt;TODAY(),"VENCIDO",IF(D13=TODAY(),"ULTIMO DIA DE CONTRATO",)))))))),"")</f>
        <v>DESLIGADO</v>
      </c>
    </row>
    <row r="14" spans="1:11" x14ac:dyDescent="0.25">
      <c r="A14" s="4" t="s">
        <v>54</v>
      </c>
      <c r="B14" s="4" t="s">
        <v>19</v>
      </c>
      <c r="C14" s="5">
        <v>45583</v>
      </c>
      <c r="D14" s="6">
        <v>45736</v>
      </c>
      <c r="E14" s="4" t="s">
        <v>5</v>
      </c>
      <c r="F14" s="4" t="s">
        <v>6</v>
      </c>
      <c r="G14" s="5">
        <v>46134</v>
      </c>
      <c r="H14" s="19">
        <f>IF(Tabela2[[#This Row],[REALIZAÇÃO DO ASO]]="","",Tabela2[[#This Row],[REALIZAÇÃO DO ASO]]+365)</f>
        <v>46499</v>
      </c>
      <c r="I1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181 Dia(s) Restante</v>
      </c>
      <c r="J1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COLABORADOR]]="AFASTADO","AFASTADO",IF(D14&gt;TODAY(),_xlfn.DAYS(D14,TODAY())&amp;" Dia(s) Restante do "&amp;Tabela2[[#This Row],[STATUS COLABORADOR]],IF(D14&lt;TODAY(),"VENCIDO",IF(D14=TODAY(),"ULTIMO DIA DE CONTRATO",)))))))),"")</f>
        <v>EFETIVO</v>
      </c>
    </row>
    <row r="15" spans="1:11" hidden="1" x14ac:dyDescent="0.25">
      <c r="A15" s="4" t="s">
        <v>55</v>
      </c>
      <c r="B15" s="4" t="s">
        <v>20</v>
      </c>
      <c r="C15" s="5">
        <v>45587</v>
      </c>
      <c r="D15" s="6">
        <v>45931</v>
      </c>
      <c r="E15" s="4" t="s">
        <v>5</v>
      </c>
      <c r="F15" s="4" t="s">
        <v>9</v>
      </c>
      <c r="G15" s="5">
        <v>45586</v>
      </c>
      <c r="H15" s="19">
        <f>IF(Tabela2[[#This Row],[REALIZAÇÃO DO ASO]]="","",Tabela2[[#This Row],[REALIZAÇÃO DO ASO]]+365)</f>
        <v>45951</v>
      </c>
      <c r="I1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1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1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COLABORADOR]]="AFASTADO","AFASTADO",IF(D15&gt;TODAY(),_xlfn.DAYS(D15,TODAY())&amp;" Dia(s) Restante do "&amp;Tabela2[[#This Row],[STATUS COLABORADOR]],IF(D15&lt;TODAY(),"VENCIDO",IF(D15=TODAY(),"ULTIMO DIA DE CONTRATO",)))))))),"")</f>
        <v>DESLIGADO</v>
      </c>
    </row>
    <row r="16" spans="1:11" hidden="1" x14ac:dyDescent="0.25">
      <c r="A16" s="4" t="s">
        <v>56</v>
      </c>
      <c r="B16" s="4" t="s">
        <v>20</v>
      </c>
      <c r="C16" s="5">
        <v>45672</v>
      </c>
      <c r="D16" s="6">
        <v>45791</v>
      </c>
      <c r="E16" s="4" t="s">
        <v>5</v>
      </c>
      <c r="F16" s="4" t="s">
        <v>9</v>
      </c>
      <c r="G16" s="5">
        <v>46034</v>
      </c>
      <c r="H16" s="19">
        <f>IF(Tabela2[[#This Row],[REALIZAÇÃO DO ASO]]="","",Tabela2[[#This Row],[REALIZAÇÃO DO ASO]]+365)</f>
        <v>46399</v>
      </c>
      <c r="I1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81 Dia(s) Restante</v>
      </c>
      <c r="J1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COLABORADOR]]="AFASTADO","AFASTADO",IF(D16&gt;TODAY(),_xlfn.DAYS(D16,TODAY())&amp;" Dia(s) Restante do "&amp;Tabela2[[#This Row],[STATUS COLABORADOR]],IF(D16&lt;TODAY(),"VENCIDO",IF(D16=TODAY(),"ULTIMO DIA DE CONTRATO",)))))))),"")</f>
        <v>DESLIGADO</v>
      </c>
    </row>
    <row r="17" spans="1:11" x14ac:dyDescent="0.25">
      <c r="A17" s="4" t="s">
        <v>57</v>
      </c>
      <c r="B17" s="4" t="s">
        <v>44</v>
      </c>
      <c r="C17" s="5">
        <v>45726</v>
      </c>
      <c r="D17" s="6">
        <v>45771</v>
      </c>
      <c r="E17" s="4" t="s">
        <v>5</v>
      </c>
      <c r="F17" s="4" t="s">
        <v>6</v>
      </c>
      <c r="G17" s="5">
        <v>46079</v>
      </c>
      <c r="H17" s="19">
        <f>IF(Tabela2[[#This Row],[REALIZAÇÃO DO ASO]]="","",Tabela2[[#This Row],[REALIZAÇÃO DO ASO]]+365)</f>
        <v>46444</v>
      </c>
      <c r="I1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126 Dia(s) Restante</v>
      </c>
      <c r="J1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COLABORADOR]]="AFASTADO","AFASTADO",IF(D17&gt;TODAY(),_xlfn.DAYS(D17,TODAY())&amp;" Dia(s) Restante do "&amp;Tabela2[[#This Row],[STATUS COLABORADOR]],IF(D17&lt;TODAY(),"VENCIDO",IF(D17=TODAY(),"ULTIMO DIA DE CONTRATO",)))))))),"")</f>
        <v>EFETIVO</v>
      </c>
    </row>
    <row r="18" spans="1:11" hidden="1" x14ac:dyDescent="0.25">
      <c r="A18" s="4" t="s">
        <v>58</v>
      </c>
      <c r="B18" s="4" t="s">
        <v>20</v>
      </c>
      <c r="C18" s="5">
        <v>45789</v>
      </c>
      <c r="D18" s="6">
        <v>45848</v>
      </c>
      <c r="E18" s="4" t="s">
        <v>5</v>
      </c>
      <c r="F18" s="4" t="s">
        <v>9</v>
      </c>
      <c r="G18" s="5">
        <v>45784</v>
      </c>
      <c r="H18" s="19">
        <f>IF(Tabela2[[#This Row],[REALIZAÇÃO DO ASO]]="","",Tabela2[[#This Row],[REALIZAÇÃO DO ASO]]+365)</f>
        <v>46149</v>
      </c>
      <c r="I1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1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1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COLABORADOR]]="AFASTADO","AFASTADO",IF(D18&gt;TODAY(),_xlfn.DAYS(D18,TODAY())&amp;" Dia(s) Restante do "&amp;Tabela2[[#This Row],[STATUS COLABORADOR]],IF(D18&lt;TODAY(),"VENCIDO",IF(D18=TODAY(),"ULTIMO DIA DE CONTRATO",)))))))),"")</f>
        <v>DESLIGADO</v>
      </c>
    </row>
    <row r="19" spans="1:11" x14ac:dyDescent="0.25">
      <c r="A19" s="4" t="s">
        <v>48</v>
      </c>
      <c r="B19" s="4" t="s">
        <v>44</v>
      </c>
      <c r="C19" s="5">
        <v>45901</v>
      </c>
      <c r="D19" s="6">
        <v>46005</v>
      </c>
      <c r="E19" s="4" t="s">
        <v>5</v>
      </c>
      <c r="F19" s="4" t="s">
        <v>6</v>
      </c>
      <c r="G19" s="5">
        <v>46247</v>
      </c>
      <c r="H19" s="19">
        <f>IF(Tabela2[[#This Row],[REALIZAÇÃO DO ASO]]="","",Tabela2[[#This Row],[REALIZAÇÃO DO ASO]]+365)</f>
        <v>46612</v>
      </c>
      <c r="I1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294 Dia(s) Restante</v>
      </c>
      <c r="J1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1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COLABORADOR]]="AFASTADO","AFASTADO",IF(D19&gt;TODAY(),_xlfn.DAYS(D19,TODAY())&amp;" Dia(s) Restante do "&amp;Tabela2[[#This Row],[STATUS COLABORADOR]],IF(D19&lt;TODAY(),"VENCIDO",IF(D19=TODAY(),"ULTIMO DIA DE CONTRATO",)))))))),"")</f>
        <v>EFETIVO</v>
      </c>
    </row>
    <row r="20" spans="1:11" hidden="1" x14ac:dyDescent="0.25">
      <c r="A20" s="4" t="s">
        <v>121</v>
      </c>
      <c r="B20" s="4" t="s">
        <v>122</v>
      </c>
      <c r="C20" s="5">
        <v>45929</v>
      </c>
      <c r="D20" s="6">
        <v>46048</v>
      </c>
      <c r="E20" s="4" t="s">
        <v>7</v>
      </c>
      <c r="F20" s="4" t="s">
        <v>9</v>
      </c>
      <c r="G20" s="5">
        <v>45926</v>
      </c>
      <c r="H20" s="19">
        <f>IF(Tabela2[[#This Row],[REALIZAÇÃO DO ASO]]="","",Tabela2[[#This Row],[REALIZAÇÃO DO ASO]]+365)</f>
        <v>46291</v>
      </c>
      <c r="I2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COLABORADOR]]="AFASTADO","AFASTADO",IF(D20&gt;TODAY(),_xlfn.DAYS(D20,TODAY())&amp;" Dia(s) Restante do "&amp;Tabela2[[#This Row],[STATUS COLABORADOR]],IF(D20&lt;TODAY(),"VENCIDO",IF(D20=TODAY(),"ULTIMO DIA DE CONTRATO",)))))))),"")</f>
        <v>DESLIGADO</v>
      </c>
    </row>
    <row r="21" spans="1:11" hidden="1" x14ac:dyDescent="0.25">
      <c r="A21" s="4" t="s">
        <v>123</v>
      </c>
      <c r="B21" s="4" t="s">
        <v>16</v>
      </c>
      <c r="C21" s="5">
        <v>45939</v>
      </c>
      <c r="D21" s="6">
        <v>46058</v>
      </c>
      <c r="E21" s="4" t="s">
        <v>5</v>
      </c>
      <c r="F21" s="4" t="s">
        <v>9</v>
      </c>
      <c r="G21" s="5">
        <v>45938</v>
      </c>
      <c r="H21" s="19">
        <f>IF(Tabela2[[#This Row],[REALIZAÇÃO DO ASO]]="","",Tabela2[[#This Row],[REALIZAÇÃO DO ASO]]+365)</f>
        <v>46303</v>
      </c>
      <c r="I2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COLABORADOR]]="AFASTADO","AFASTADO",IF(D21&gt;TODAY(),_xlfn.DAYS(D21,TODAY())&amp;" Dia(s) Restante do "&amp;Tabela2[[#This Row],[STATUS COLABORADOR]],IF(D21&lt;TODAY(),"VENCIDO",IF(D21=TODAY(),"ULTIMO DIA DE CONTRATO",)))))))),"")</f>
        <v>DESLIGADO</v>
      </c>
    </row>
    <row r="22" spans="1:11" hidden="1" x14ac:dyDescent="0.25">
      <c r="A22" s="4" t="s">
        <v>124</v>
      </c>
      <c r="B22" s="4" t="s">
        <v>20</v>
      </c>
      <c r="C22" s="5">
        <v>45944</v>
      </c>
      <c r="D22" s="6">
        <v>46003</v>
      </c>
      <c r="E22" s="4" t="s">
        <v>7</v>
      </c>
      <c r="F22" s="4" t="s">
        <v>9</v>
      </c>
      <c r="G22" s="5">
        <v>45943</v>
      </c>
      <c r="H22" s="19">
        <f>IF(Tabela2[[#This Row],[REALIZAÇÃO DO ASO]]="","",Tabela2[[#This Row],[REALIZAÇÃO DO ASO]]+365)</f>
        <v>46308</v>
      </c>
      <c r="I2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COLABORADOR]]="AFASTADO","AFASTADO",IF(D22&gt;TODAY(),_xlfn.DAYS(D22,TODAY())&amp;" Dia(s) Restante do "&amp;Tabela2[[#This Row],[STATUS COLABORADOR]],IF(D22&lt;TODAY(),"VENCIDO",IF(D22=TODAY(),"ULTIMO DIA DE CONTRATO",)))))))),"")</f>
        <v>DESLIGADO</v>
      </c>
    </row>
    <row r="23" spans="1:11" hidden="1" x14ac:dyDescent="0.25">
      <c r="A23" s="4" t="s">
        <v>125</v>
      </c>
      <c r="B23" s="4" t="s">
        <v>126</v>
      </c>
      <c r="C23" s="5">
        <v>45944</v>
      </c>
      <c r="D23" s="6">
        <v>46003</v>
      </c>
      <c r="E23" s="4" t="s">
        <v>7</v>
      </c>
      <c r="F23" s="4" t="s">
        <v>9</v>
      </c>
      <c r="G23" s="5">
        <v>45943</v>
      </c>
      <c r="H23" s="19">
        <f>IF(Tabela2[[#This Row],[REALIZAÇÃO DO ASO]]="","",Tabela2[[#This Row],[REALIZAÇÃO DO ASO]]+365)</f>
        <v>46308</v>
      </c>
      <c r="I2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COLABORADOR]]="AFASTADO","AFASTADO",IF(D23&gt;TODAY(),_xlfn.DAYS(D23,TODAY())&amp;" Dia(s) Restante do "&amp;Tabela2[[#This Row],[STATUS COLABORADOR]],IF(D23&lt;TODAY(),"VENCIDO",IF(D23=TODAY(),"ULTIMO DIA DE CONTRATO",)))))))),"")</f>
        <v>DESLIGADO</v>
      </c>
    </row>
    <row r="24" spans="1:11" hidden="1" x14ac:dyDescent="0.25">
      <c r="A24" s="4" t="s">
        <v>127</v>
      </c>
      <c r="B24" s="4" t="s">
        <v>19</v>
      </c>
      <c r="C24" s="5">
        <v>45952</v>
      </c>
      <c r="D24" s="6">
        <v>46011</v>
      </c>
      <c r="E24" s="4" t="s">
        <v>7</v>
      </c>
      <c r="F24" s="4" t="s">
        <v>9</v>
      </c>
      <c r="G24" s="5">
        <v>45951</v>
      </c>
      <c r="H24" s="19">
        <f>IF(Tabela2[[#This Row],[REALIZAÇÃO DO ASO]]="","",Tabela2[[#This Row],[REALIZAÇÃO DO ASO]]+365)</f>
        <v>46316</v>
      </c>
      <c r="I2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COLABORADOR]]="AFASTADO","AFASTADO",IF(D24&gt;TODAY(),_xlfn.DAYS(D24,TODAY())&amp;" Dia(s) Restante do "&amp;Tabela2[[#This Row],[STATUS COLABORADOR]],IF(D24&lt;TODAY(),"VENCIDO",IF(D24=TODAY(),"ULTIMO DIA DE CONTRATO",)))))))),"")</f>
        <v>DESLIGADO</v>
      </c>
    </row>
    <row r="25" spans="1:11" hidden="1" x14ac:dyDescent="0.25">
      <c r="A25" s="4" t="s">
        <v>128</v>
      </c>
      <c r="B25" s="4" t="s">
        <v>20</v>
      </c>
      <c r="C25" s="5">
        <v>45952</v>
      </c>
      <c r="D25" s="6">
        <v>46162</v>
      </c>
      <c r="E25" s="4" t="s">
        <v>7</v>
      </c>
      <c r="F25" s="4" t="s">
        <v>9</v>
      </c>
      <c r="G25" s="5">
        <v>45951</v>
      </c>
      <c r="H25" s="19">
        <f>IF(Tabela2[[#This Row],[REALIZAÇÃO DO ASO]]="","",Tabela2[[#This Row],[REALIZAÇÃO DO ASO]]+365)</f>
        <v>46316</v>
      </c>
      <c r="I2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COLABORADOR]]="AFASTADO","AFASTADO",IF(D25&gt;TODAY(),_xlfn.DAYS(D25,TODAY())&amp;" Dia(s) Restante do "&amp;Tabela2[[#This Row],[STATUS COLABORADOR]],IF(D25&lt;TODAY(),"VENCIDO",IF(D25=TODAY(),"ULTIMO DIA DE CONTRATO",)))))))),"")</f>
        <v>DESLIGADO</v>
      </c>
    </row>
    <row r="26" spans="1:11" x14ac:dyDescent="0.25">
      <c r="A26" s="4" t="s">
        <v>129</v>
      </c>
      <c r="B26" s="4" t="s">
        <v>122</v>
      </c>
      <c r="C26" s="5">
        <v>45953</v>
      </c>
      <c r="D26" s="6">
        <v>46012</v>
      </c>
      <c r="E26" s="4" t="s">
        <v>7</v>
      </c>
      <c r="F26" s="4" t="s">
        <v>6</v>
      </c>
      <c r="G26" s="5">
        <v>46297</v>
      </c>
      <c r="H26" s="19">
        <f>IF(Tabela2[[#This Row],[REALIZAÇÃO DO ASO]]="","",Tabela2[[#This Row],[REALIZAÇÃO DO ASO]]+365)</f>
        <v>46662</v>
      </c>
      <c r="I2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344 Dia(s) Restante</v>
      </c>
      <c r="J2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2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COLABORADOR]]="AFASTADO","AFASTADO",IF(D26&gt;TODAY(),_xlfn.DAYS(D26,TODAY())&amp;" Dia(s) Restante do "&amp;Tabela2[[#This Row],[STATUS COLABORADOR]],IF(D26&lt;TODAY(),"VENCIDO",IF(D26=TODAY(),"ULTIMO DIA DE CONTRATO",)))))))),"")</f>
        <v>EFETIVO</v>
      </c>
    </row>
    <row r="27" spans="1:11" hidden="1" x14ac:dyDescent="0.25">
      <c r="A27" s="4" t="s">
        <v>130</v>
      </c>
      <c r="B27" s="4" t="s">
        <v>122</v>
      </c>
      <c r="C27" s="5">
        <v>45953</v>
      </c>
      <c r="D27" s="6">
        <v>46057</v>
      </c>
      <c r="E27" s="4" t="s">
        <v>7</v>
      </c>
      <c r="F27" s="4" t="s">
        <v>9</v>
      </c>
      <c r="G27" s="5">
        <v>45952</v>
      </c>
      <c r="H27" s="19">
        <f>IF(Tabela2[[#This Row],[REALIZAÇÃO DO ASO]]="","",Tabela2[[#This Row],[REALIZAÇÃO DO ASO]]+365)</f>
        <v>46317</v>
      </c>
      <c r="I2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VENCIDO</v>
      </c>
      <c r="J2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VENCIDO</v>
      </c>
      <c r="K2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COLABORADOR]]="AFASTADO","AFASTADO",IF(D27&gt;TODAY(),_xlfn.DAYS(D27,TODAY())&amp;" Dia(s) Restante do "&amp;Tabela2[[#This Row],[STATUS COLABORADOR]],IF(D27&lt;TODAY(),"VENCIDO",IF(D27=TODAY(),"ULTIMO DIA DE CONTRATO",)))))))),"")</f>
        <v>DESLIGADO</v>
      </c>
    </row>
    <row r="28" spans="1:11" hidden="1" x14ac:dyDescent="0.25">
      <c r="A28" s="4" t="s">
        <v>131</v>
      </c>
      <c r="B28" s="4" t="s">
        <v>16</v>
      </c>
      <c r="C28" s="5">
        <v>45965</v>
      </c>
      <c r="D28" s="6">
        <v>46024</v>
      </c>
      <c r="E28" s="4" t="s">
        <v>7</v>
      </c>
      <c r="F28" s="4" t="s">
        <v>9</v>
      </c>
      <c r="G28" s="5">
        <v>45964</v>
      </c>
      <c r="H28" s="19">
        <f>IF(Tabela2[[#This Row],[REALIZAÇÃO DO ASO]]="","",Tabela2[[#This Row],[REALIZAÇÃO DO ASO]]+365)</f>
        <v>46329</v>
      </c>
      <c r="I2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11 Dia(s) Restante</v>
      </c>
      <c r="J2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2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COLABORADOR]]="AFASTADO","AFASTADO",IF(D28&gt;TODAY(),_xlfn.DAYS(D28,TODAY())&amp;" Dia(s) Restante do "&amp;Tabela2[[#This Row],[STATUS COLABORADOR]],IF(D28&lt;TODAY(),"VENCIDO",IF(D28=TODAY(),"ULTIMO DIA DE CONTRATO",)))))))),"")</f>
        <v>DESLIGADO</v>
      </c>
    </row>
    <row r="29" spans="1:11" x14ac:dyDescent="0.25">
      <c r="A29" s="4" t="s">
        <v>132</v>
      </c>
      <c r="B29" s="4" t="s">
        <v>122</v>
      </c>
      <c r="C29" s="5">
        <v>45965</v>
      </c>
      <c r="D29" s="6">
        <v>46024</v>
      </c>
      <c r="E29" s="4" t="s">
        <v>7</v>
      </c>
      <c r="F29" s="4" t="s">
        <v>6</v>
      </c>
      <c r="G29" s="5">
        <v>45964</v>
      </c>
      <c r="H29" s="19">
        <f>IF(Tabela2[[#This Row],[REALIZAÇÃO DO ASO]]="","",Tabela2[[#This Row],[REALIZAÇÃO DO ASO]]+365)</f>
        <v>46329</v>
      </c>
      <c r="I2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11 Dia(s) Restante</v>
      </c>
      <c r="J2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2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COLABORADOR]]="AFASTADO","AFASTADO",IF(D29&gt;TODAY(),_xlfn.DAYS(D29,TODAY())&amp;" Dia(s) Restante do "&amp;Tabela2[[#This Row],[STATUS COLABORADOR]],IF(D29&lt;TODAY(),"VENCIDO",IF(D29=TODAY(),"ULTIMO DIA DE CONTRATO",)))))))),"")</f>
        <v>EFETIVO</v>
      </c>
    </row>
    <row r="30" spans="1:11" hidden="1" x14ac:dyDescent="0.25">
      <c r="A30" s="4" t="s">
        <v>133</v>
      </c>
      <c r="B30" s="4" t="s">
        <v>20</v>
      </c>
      <c r="C30" s="5">
        <v>45972</v>
      </c>
      <c r="D30" s="6">
        <v>46179</v>
      </c>
      <c r="E30" s="4" t="s">
        <v>7</v>
      </c>
      <c r="F30" s="4" t="s">
        <v>9</v>
      </c>
      <c r="G30" s="5">
        <v>45971</v>
      </c>
      <c r="H30" s="19">
        <f>IF(Tabela2[[#This Row],[REALIZAÇÃO DO ASO]]="","",Tabela2[[#This Row],[REALIZAÇÃO DO ASO]]+365)</f>
        <v>46336</v>
      </c>
      <c r="I3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18 Dia(s) Restante</v>
      </c>
      <c r="J3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COLABORADOR]]="AFASTADO","AFASTADO",IF(D30&gt;TODAY(),_xlfn.DAYS(D30,TODAY())&amp;" Dia(s) Restante do "&amp;Tabela2[[#This Row],[STATUS COLABORADOR]],IF(D30&lt;TODAY(),"VENCIDO",IF(D30=TODAY(),"ULTIMO DIA DE CONTRATO",)))))))),"")</f>
        <v>DESLIGADO</v>
      </c>
    </row>
    <row r="31" spans="1:11" hidden="1" x14ac:dyDescent="0.25">
      <c r="A31" s="4" t="s">
        <v>134</v>
      </c>
      <c r="B31" s="4" t="s">
        <v>122</v>
      </c>
      <c r="C31" s="5">
        <v>45978</v>
      </c>
      <c r="D31" s="6">
        <v>46037</v>
      </c>
      <c r="E31" s="4" t="s">
        <v>7</v>
      </c>
      <c r="F31" s="4" t="s">
        <v>9</v>
      </c>
      <c r="G31" s="5">
        <v>45975</v>
      </c>
      <c r="H31" s="19">
        <f>IF(Tabela2[[#This Row],[REALIZAÇÃO DO ASO]]="","",Tabela2[[#This Row],[REALIZAÇÃO DO ASO]]+365)</f>
        <v>46340</v>
      </c>
      <c r="I3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22 Dia(s) Restante</v>
      </c>
      <c r="J3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COLABORADOR]]="AFASTADO","AFASTADO",IF(D31&gt;TODAY(),_xlfn.DAYS(D31,TODAY())&amp;" Dia(s) Restante do "&amp;Tabela2[[#This Row],[STATUS COLABORADOR]],IF(D31&lt;TODAY(),"VENCIDO",IF(D31=TODAY(),"ULTIMO DIA DE CONTRATO",)))))))),"")</f>
        <v>DESLIGADO</v>
      </c>
    </row>
    <row r="32" spans="1:11" hidden="1" x14ac:dyDescent="0.25">
      <c r="A32" s="4" t="s">
        <v>135</v>
      </c>
      <c r="B32" s="4" t="s">
        <v>19</v>
      </c>
      <c r="C32" s="5">
        <v>45978</v>
      </c>
      <c r="D32" s="6">
        <v>46037</v>
      </c>
      <c r="E32" s="4" t="s">
        <v>7</v>
      </c>
      <c r="F32" s="4" t="s">
        <v>9</v>
      </c>
      <c r="G32" s="5">
        <v>45975</v>
      </c>
      <c r="H32" s="19">
        <f>IF(Tabela2[[#This Row],[REALIZAÇÃO DO ASO]]="","",Tabela2[[#This Row],[REALIZAÇÃO DO ASO]]+365)</f>
        <v>46340</v>
      </c>
      <c r="I3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22 Dia(s) Restante</v>
      </c>
      <c r="J3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COLABORADOR]]="AFASTADO","AFASTADO",IF(D32&gt;TODAY(),_xlfn.DAYS(D32,TODAY())&amp;" Dia(s) Restante do "&amp;Tabela2[[#This Row],[STATUS COLABORADOR]],IF(D32&lt;TODAY(),"VENCIDO",IF(D32=TODAY(),"ULTIMO DIA DE CONTRATO",)))))))),"")</f>
        <v>DESLIGADO</v>
      </c>
    </row>
    <row r="33" spans="1:11" hidden="1" x14ac:dyDescent="0.25">
      <c r="A33" s="4" t="s">
        <v>136</v>
      </c>
      <c r="B33" s="4" t="s">
        <v>16</v>
      </c>
      <c r="C33" s="5">
        <v>45978</v>
      </c>
      <c r="D33" s="6">
        <v>46037</v>
      </c>
      <c r="E33" s="4" t="s">
        <v>7</v>
      </c>
      <c r="F33" s="4" t="s">
        <v>9</v>
      </c>
      <c r="G33" s="5">
        <v>45975</v>
      </c>
      <c r="H33" s="19">
        <f>IF(Tabela2[[#This Row],[REALIZAÇÃO DO ASO]]="","",Tabela2[[#This Row],[REALIZAÇÃO DO ASO]]+365)</f>
        <v>46340</v>
      </c>
      <c r="I3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22 Dia(s) Restante</v>
      </c>
      <c r="J3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COLABORADOR]]="AFASTADO","AFASTADO",IF(D33&gt;TODAY(),_xlfn.DAYS(D33,TODAY())&amp;" Dia(s) Restante do "&amp;Tabela2[[#This Row],[STATUS COLABORADOR]],IF(D33&lt;TODAY(),"VENCIDO",IF(D33=TODAY(),"ULTIMO DIA DE CONTRATO",)))))))),"")</f>
        <v>DESLIGADO</v>
      </c>
    </row>
    <row r="34" spans="1:11" hidden="1" x14ac:dyDescent="0.25">
      <c r="A34" s="4" t="s">
        <v>137</v>
      </c>
      <c r="B34" s="4" t="s">
        <v>16</v>
      </c>
      <c r="C34" s="5">
        <v>45978</v>
      </c>
      <c r="D34" s="6">
        <v>46037</v>
      </c>
      <c r="E34" s="4" t="s">
        <v>7</v>
      </c>
      <c r="F34" s="4" t="s">
        <v>9</v>
      </c>
      <c r="G34" s="5">
        <v>45975</v>
      </c>
      <c r="H34" s="19">
        <f>IF(Tabela2[[#This Row],[REALIZAÇÃO DO ASO]]="","",Tabela2[[#This Row],[REALIZAÇÃO DO ASO]]+365)</f>
        <v>46340</v>
      </c>
      <c r="I3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22 Dia(s) Restante</v>
      </c>
      <c r="J3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COLABORADOR]]="AFASTADO","AFASTADO",IF(D34&gt;TODAY(),_xlfn.DAYS(D34,TODAY())&amp;" Dia(s) Restante do "&amp;Tabela2[[#This Row],[STATUS COLABORADOR]],IF(D34&lt;TODAY(),"VENCIDO",IF(D34=TODAY(),"ULTIMO DIA DE CONTRATO",)))))))),"")</f>
        <v>DESLIGADO</v>
      </c>
    </row>
    <row r="35" spans="1:11" hidden="1" x14ac:dyDescent="0.25">
      <c r="A35" s="4" t="s">
        <v>138</v>
      </c>
      <c r="B35" s="4" t="s">
        <v>19</v>
      </c>
      <c r="C35" s="5">
        <v>46031</v>
      </c>
      <c r="D35" s="6">
        <v>46150</v>
      </c>
      <c r="E35" s="4" t="s">
        <v>5</v>
      </c>
      <c r="F35" s="4" t="s">
        <v>9</v>
      </c>
      <c r="G35" s="5">
        <v>46030</v>
      </c>
      <c r="H35" s="19">
        <f>IF(Tabela2[[#This Row],[REALIZAÇÃO DO ASO]]="","",Tabela2[[#This Row],[REALIZAÇÃO DO ASO]]+365)</f>
        <v>46395</v>
      </c>
      <c r="I3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77 Dia(s) Restante</v>
      </c>
      <c r="J3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COLABORADOR]]="AFASTADO","AFASTADO",IF(D35&gt;TODAY(),_xlfn.DAYS(D35,TODAY())&amp;" Dia(s) Restante do "&amp;Tabela2[[#This Row],[STATUS COLABORADOR]],IF(D35&lt;TODAY(),"VENCIDO",IF(D35=TODAY(),"ULTIMO DIA DE CONTRATO",)))))))),"")</f>
        <v>DESLIGADO</v>
      </c>
    </row>
    <row r="36" spans="1:11" hidden="1" x14ac:dyDescent="0.25">
      <c r="A36" s="4" t="s">
        <v>139</v>
      </c>
      <c r="B36" s="4" t="s">
        <v>20</v>
      </c>
      <c r="C36" s="5">
        <v>46031</v>
      </c>
      <c r="D36" s="6">
        <v>46232</v>
      </c>
      <c r="E36" s="4" t="s">
        <v>5</v>
      </c>
      <c r="F36" s="4" t="s">
        <v>9</v>
      </c>
      <c r="G36" s="5">
        <v>46030</v>
      </c>
      <c r="H36" s="19">
        <f>IF(Tabela2[[#This Row],[REALIZAÇÃO DO ASO]]="","",Tabela2[[#This Row],[REALIZAÇÃO DO ASO]]+365)</f>
        <v>46395</v>
      </c>
      <c r="I3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77 Dia(s) Restante</v>
      </c>
      <c r="J3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COLABORADOR]]="AFASTADO","AFASTADO",IF(D36&gt;TODAY(),_xlfn.DAYS(D36,TODAY())&amp;" Dia(s) Restante do "&amp;Tabela2[[#This Row],[STATUS COLABORADOR]],IF(D36&lt;TODAY(),"VENCIDO",IF(D36=TODAY(),"ULTIMO DIA DE CONTRATO",)))))))),"")</f>
        <v>DESLIGADO</v>
      </c>
    </row>
    <row r="37" spans="1:11" hidden="1" x14ac:dyDescent="0.25">
      <c r="A37" s="4" t="s">
        <v>140</v>
      </c>
      <c r="B37" s="4" t="s">
        <v>16</v>
      </c>
      <c r="C37" s="5">
        <v>46031</v>
      </c>
      <c r="D37" s="6">
        <v>46150</v>
      </c>
      <c r="E37" s="4" t="s">
        <v>5</v>
      </c>
      <c r="F37" s="4" t="s">
        <v>9</v>
      </c>
      <c r="G37" s="5">
        <v>46030</v>
      </c>
      <c r="H37" s="19">
        <f>IF(Tabela2[[#This Row],[REALIZAÇÃO DO ASO]]="","",Tabela2[[#This Row],[REALIZAÇÃO DO ASO]]+365)</f>
        <v>46395</v>
      </c>
      <c r="I3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77 Dia(s) Restante</v>
      </c>
      <c r="J3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COLABORADOR]]="AFASTADO","AFASTADO",IF(D37&gt;TODAY(),_xlfn.DAYS(D37,TODAY())&amp;" Dia(s) Restante do "&amp;Tabela2[[#This Row],[STATUS COLABORADOR]],IF(D37&lt;TODAY(),"VENCIDO",IF(D37=TODAY(),"ULTIMO DIA DE CONTRATO",)))))))),"")</f>
        <v>DESLIGADO</v>
      </c>
    </row>
    <row r="38" spans="1:11" hidden="1" x14ac:dyDescent="0.25">
      <c r="A38" s="4" t="s">
        <v>141</v>
      </c>
      <c r="B38" s="4" t="s">
        <v>20</v>
      </c>
      <c r="C38" s="5">
        <v>46036</v>
      </c>
      <c r="D38" s="6">
        <v>46155</v>
      </c>
      <c r="E38" s="4" t="s">
        <v>5</v>
      </c>
      <c r="F38" s="4" t="s">
        <v>9</v>
      </c>
      <c r="G38" s="5">
        <v>46035</v>
      </c>
      <c r="H38" s="19">
        <f>IF(Tabela2[[#This Row],[REALIZAÇÃO DO ASO]]="","",Tabela2[[#This Row],[REALIZAÇÃO DO ASO]]+365)</f>
        <v>46400</v>
      </c>
      <c r="I3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82 Dia(s) Restante</v>
      </c>
      <c r="J3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COLABORADOR]]="AFASTADO","AFASTADO",IF(D38&gt;TODAY(),_xlfn.DAYS(D38,TODAY())&amp;" Dia(s) Restante do "&amp;Tabela2[[#This Row],[STATUS COLABORADOR]],IF(D38&lt;TODAY(),"VENCIDO",IF(D38=TODAY(),"ULTIMO DIA DE CONTRATO",)))))))),"")</f>
        <v>DESLIGADO</v>
      </c>
    </row>
    <row r="39" spans="1:11" hidden="1" x14ac:dyDescent="0.25">
      <c r="A39" s="4" t="s">
        <v>142</v>
      </c>
      <c r="B39" s="4" t="s">
        <v>16</v>
      </c>
      <c r="C39" s="5">
        <v>46036</v>
      </c>
      <c r="D39" s="6">
        <v>46155</v>
      </c>
      <c r="E39" s="4" t="s">
        <v>5</v>
      </c>
      <c r="F39" s="4" t="s">
        <v>9</v>
      </c>
      <c r="G39" s="5">
        <v>46035</v>
      </c>
      <c r="H39" s="19">
        <f>IF(Tabela2[[#This Row],[REALIZAÇÃO DO ASO]]="","",Tabela2[[#This Row],[REALIZAÇÃO DO ASO]]+365)</f>
        <v>46400</v>
      </c>
      <c r="I3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82 Dia(s) Restante</v>
      </c>
      <c r="J3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3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COLABORADOR]]="AFASTADO","AFASTADO",IF(D39&gt;TODAY(),_xlfn.DAYS(D39,TODAY())&amp;" Dia(s) Restante do "&amp;Tabela2[[#This Row],[STATUS COLABORADOR]],IF(D39&lt;TODAY(),"VENCIDO",IF(D39=TODAY(),"ULTIMO DIA DE CONTRATO",)))))))),"")</f>
        <v>DESLIGADO</v>
      </c>
    </row>
    <row r="40" spans="1:11" hidden="1" x14ac:dyDescent="0.25">
      <c r="A40" s="4" t="s">
        <v>143</v>
      </c>
      <c r="B40" s="4" t="s">
        <v>16</v>
      </c>
      <c r="C40" s="5">
        <v>46036</v>
      </c>
      <c r="D40" s="6">
        <v>46155</v>
      </c>
      <c r="E40" s="4" t="s">
        <v>5</v>
      </c>
      <c r="F40" s="4" t="s">
        <v>9</v>
      </c>
      <c r="G40" s="5">
        <v>46035</v>
      </c>
      <c r="H40" s="19">
        <f>IF(Tabela2[[#This Row],[REALIZAÇÃO DO ASO]]="","",Tabela2[[#This Row],[REALIZAÇÃO DO ASO]]+365)</f>
        <v>46400</v>
      </c>
      <c r="I4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82 Dia(s) Restante</v>
      </c>
      <c r="J4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COLABORADOR]]="AFASTADO","AFASTADO",IF(D40&gt;TODAY(),_xlfn.DAYS(D40,TODAY())&amp;" Dia(s) Restante do "&amp;Tabela2[[#This Row],[STATUS COLABORADOR]],IF(D40&lt;TODAY(),"VENCIDO",IF(D40=TODAY(),"ULTIMO DIA DE CONTRATO",)))))))),"")</f>
        <v>DESLIGADO</v>
      </c>
    </row>
    <row r="41" spans="1:11" hidden="1" x14ac:dyDescent="0.25">
      <c r="A41" s="3" t="s">
        <v>144</v>
      </c>
      <c r="B41" s="4" t="s">
        <v>16</v>
      </c>
      <c r="C41" s="5">
        <v>46036</v>
      </c>
      <c r="D41" s="6">
        <v>46155</v>
      </c>
      <c r="E41" s="4" t="s">
        <v>5</v>
      </c>
      <c r="F41" s="4" t="s">
        <v>9</v>
      </c>
      <c r="G41" s="5">
        <v>46035</v>
      </c>
      <c r="H41" s="19">
        <f>IF(Tabela2[[#This Row],[REALIZAÇÃO DO ASO]]="","",Tabela2[[#This Row],[REALIZAÇÃO DO ASO]]+365)</f>
        <v>46400</v>
      </c>
      <c r="I4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82 Dia(s) Restante</v>
      </c>
      <c r="J4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COLABORADOR]]="AFASTADO","AFASTADO",IF(D41&gt;TODAY(),_xlfn.DAYS(D41,TODAY())&amp;" Dia(s) Restante do "&amp;Tabela2[[#This Row],[STATUS COLABORADOR]],IF(D41&lt;TODAY(),"VENCIDO",IF(D41=TODAY(),"ULTIMO DIA DE CONTRATO",)))))))),"")</f>
        <v>DESLIGADO</v>
      </c>
    </row>
    <row r="42" spans="1:11" hidden="1" x14ac:dyDescent="0.25">
      <c r="A42" s="4" t="s">
        <v>145</v>
      </c>
      <c r="B42" s="4" t="s">
        <v>20</v>
      </c>
      <c r="C42" s="5">
        <v>46036</v>
      </c>
      <c r="D42" s="6">
        <v>46155</v>
      </c>
      <c r="E42" s="4" t="s">
        <v>5</v>
      </c>
      <c r="F42" s="4" t="s">
        <v>9</v>
      </c>
      <c r="G42" s="5">
        <v>46035</v>
      </c>
      <c r="H42" s="19">
        <f>IF(Tabela2[[#This Row],[REALIZAÇÃO DO ASO]]="","",Tabela2[[#This Row],[REALIZAÇÃO DO ASO]]+365)</f>
        <v>46400</v>
      </c>
      <c r="I4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82 Dia(s) Restante</v>
      </c>
      <c r="J4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COLABORADOR]]="AFASTADO","AFASTADO",IF(D42&gt;TODAY(),_xlfn.DAYS(D42,TODAY())&amp;" Dia(s) Restante do "&amp;Tabela2[[#This Row],[STATUS COLABORADOR]],IF(D42&lt;TODAY(),"VENCIDO",IF(D42=TODAY(),"ULTIMO DIA DE CONTRATO",)))))))),"")</f>
        <v>DESLIGADO</v>
      </c>
    </row>
    <row r="43" spans="1:11" hidden="1" x14ac:dyDescent="0.25">
      <c r="A43" s="4" t="s">
        <v>146</v>
      </c>
      <c r="B43" s="4" t="s">
        <v>147</v>
      </c>
      <c r="C43" s="5">
        <v>46059</v>
      </c>
      <c r="D43" s="6">
        <v>46238</v>
      </c>
      <c r="E43" s="4" t="s">
        <v>5</v>
      </c>
      <c r="F43" s="4" t="s">
        <v>9</v>
      </c>
      <c r="G43" s="5">
        <v>46058</v>
      </c>
      <c r="H43" s="19">
        <f>IF(Tabela2[[#This Row],[REALIZAÇÃO DO ASO]]="","",Tabela2[[#This Row],[REALIZAÇÃO DO ASO]]+365)</f>
        <v>46423</v>
      </c>
      <c r="I4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105 Dia(s) Restante</v>
      </c>
      <c r="J4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COLABORADOR]]="AFASTADO","AFASTADO",IF(D43&gt;TODAY(),_xlfn.DAYS(D43,TODAY())&amp;" Dia(s) Restante do "&amp;Tabela2[[#This Row],[STATUS COLABORADOR]],IF(D43&lt;TODAY(),"VENCIDO",IF(D43=TODAY(),"ULTIMO DIA DE CONTRATO",)))))))),"")</f>
        <v>DESLIGADO</v>
      </c>
    </row>
    <row r="44" spans="1:11" hidden="1" x14ac:dyDescent="0.25">
      <c r="A44" s="4" t="s">
        <v>148</v>
      </c>
      <c r="B44" s="4" t="s">
        <v>59</v>
      </c>
      <c r="C44" s="5">
        <v>46063</v>
      </c>
      <c r="D44" s="6">
        <v>46242</v>
      </c>
      <c r="E44" s="4" t="s">
        <v>5</v>
      </c>
      <c r="F44" s="4" t="s">
        <v>9</v>
      </c>
      <c r="G44" s="5">
        <v>46062</v>
      </c>
      <c r="H44" s="19">
        <f>IF(Tabela2[[#This Row],[REALIZAÇÃO DO ASO]]="","",Tabela2[[#This Row],[REALIZAÇÃO DO ASO]]+365)</f>
        <v>46427</v>
      </c>
      <c r="I4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109 Dia(s) Restante</v>
      </c>
      <c r="J4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COLABORADOR]]="AFASTADO","AFASTADO",IF(D44&gt;TODAY(),_xlfn.DAYS(D44,TODAY())&amp;" Dia(s) Restante do "&amp;Tabela2[[#This Row],[STATUS COLABORADOR]],IF(D44&lt;TODAY(),"VENCIDO",IF(D44=TODAY(),"ULTIMO DIA DE CONTRATO",)))))))),"")</f>
        <v>DESLIGADO</v>
      </c>
    </row>
    <row r="45" spans="1:11" hidden="1" x14ac:dyDescent="0.25">
      <c r="A45" s="4" t="s">
        <v>45</v>
      </c>
      <c r="B45" s="4" t="s">
        <v>44</v>
      </c>
      <c r="C45" s="5">
        <v>46063</v>
      </c>
      <c r="D45" s="6">
        <v>46242</v>
      </c>
      <c r="E45" s="4" t="s">
        <v>5</v>
      </c>
      <c r="F45" s="4" t="s">
        <v>9</v>
      </c>
      <c r="G45" s="5">
        <v>46062</v>
      </c>
      <c r="H45" s="19">
        <f>IF(Tabela2[[#This Row],[REALIZAÇÃO DO ASO]]="","",Tabela2[[#This Row],[REALIZAÇÃO DO ASO]]+365)</f>
        <v>46427</v>
      </c>
      <c r="I4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109 Dia(s) Restante</v>
      </c>
      <c r="J4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COLABORADOR]]="AFASTADO","AFASTADO",IF(D45&gt;TODAY(),_xlfn.DAYS(D45,TODAY())&amp;" Dia(s) Restante do "&amp;Tabela2[[#This Row],[STATUS COLABORADOR]],IF(D45&lt;TODAY(),"VENCIDO",IF(D45=TODAY(),"ULTIMO DIA DE CONTRATO",)))))))),"")</f>
        <v>DESLIGADO</v>
      </c>
    </row>
    <row r="46" spans="1:11" x14ac:dyDescent="0.25">
      <c r="A46" s="4" t="s">
        <v>149</v>
      </c>
      <c r="B46" s="4" t="s">
        <v>59</v>
      </c>
      <c r="C46" s="5">
        <v>46078</v>
      </c>
      <c r="D46" s="6" t="s">
        <v>150</v>
      </c>
      <c r="E46" s="4" t="s">
        <v>7</v>
      </c>
      <c r="F46" s="4" t="s">
        <v>6</v>
      </c>
      <c r="G46" s="5">
        <v>46077</v>
      </c>
      <c r="H46" s="19">
        <f>IF(Tabela2[[#This Row],[REALIZAÇÃO DO ASO]]="","",Tabela2[[#This Row],[REALIZAÇÃO DO ASO]]+365)</f>
        <v>46442</v>
      </c>
      <c r="I4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124 Dia(s) Restante</v>
      </c>
      <c r="J4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COLABORADOR]]="AFASTADO","AFASTADO",IF(D46&gt;TODAY(),_xlfn.DAYS(D46,TODAY())&amp;" Dia(s) Restante do "&amp;Tabela2[[#This Row],[STATUS COLABORADOR]],IF(D46&lt;TODAY(),"VENCIDO",IF(D46=TODAY(),"ULTIMO DIA DE CONTRATO",)))))))),"")</f>
        <v>EFETIVO</v>
      </c>
    </row>
    <row r="47" spans="1:11" x14ac:dyDescent="0.25">
      <c r="A47" s="3" t="s">
        <v>151</v>
      </c>
      <c r="B47" s="4" t="s">
        <v>152</v>
      </c>
      <c r="C47" s="5">
        <v>46085</v>
      </c>
      <c r="D47" s="6">
        <v>46234</v>
      </c>
      <c r="E47" s="4" t="s">
        <v>5</v>
      </c>
      <c r="F47" s="4" t="s">
        <v>6</v>
      </c>
      <c r="G47" s="5">
        <v>46076</v>
      </c>
      <c r="H47" s="19">
        <f>IF(Tabela2[[#This Row],[REALIZAÇÃO DO ASO]]="","",Tabela2[[#This Row],[REALIZAÇÃO DO ASO]]+365)</f>
        <v>46441</v>
      </c>
      <c r="I4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123 Dia(s) Restante</v>
      </c>
      <c r="J4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COLABORADOR]]="AFASTADO","AFASTADO",IF(D47&gt;TODAY(),_xlfn.DAYS(D47,TODAY())&amp;" Dia(s) Restante do "&amp;Tabela2[[#This Row],[STATUS COLABORADOR]],IF(D47&lt;TODAY(),"VENCIDO",IF(D47=TODAY(),"ULTIMO DIA DE CONTRATO",)))))))),"")</f>
        <v>EFETIVO</v>
      </c>
    </row>
    <row r="48" spans="1:11" hidden="1" x14ac:dyDescent="0.25">
      <c r="A48" s="4" t="s">
        <v>153</v>
      </c>
      <c r="B48" s="4" t="s">
        <v>152</v>
      </c>
      <c r="C48" s="5">
        <v>46094</v>
      </c>
      <c r="D48" s="6">
        <v>46243</v>
      </c>
      <c r="E48" s="4" t="s">
        <v>5</v>
      </c>
      <c r="F48" s="4" t="s">
        <v>9</v>
      </c>
      <c r="G48" s="5">
        <v>46090</v>
      </c>
      <c r="H48" s="19">
        <f>IF(Tabela2[[#This Row],[REALIZAÇÃO DO ASO]]="","",Tabela2[[#This Row],[REALIZAÇÃO DO ASO]]+365)</f>
        <v>46455</v>
      </c>
      <c r="I4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137 Dia(s) Restante</v>
      </c>
      <c r="J4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COLABORADOR]]="AFASTADO","AFASTADO",IF(D48&gt;TODAY(),_xlfn.DAYS(D48,TODAY())&amp;" Dia(s) Restante do "&amp;Tabela2[[#This Row],[STATUS COLABORADOR]],IF(D48&lt;TODAY(),"VENCIDO",IF(D48=TODAY(),"ULTIMO DIA DE CONTRATO",)))))))),"")</f>
        <v>DESLIGADO</v>
      </c>
    </row>
    <row r="49" spans="1:11" hidden="1" x14ac:dyDescent="0.25">
      <c r="A49" s="3" t="s">
        <v>154</v>
      </c>
      <c r="B49" s="4" t="s">
        <v>152</v>
      </c>
      <c r="C49" s="5">
        <v>46094</v>
      </c>
      <c r="D49" s="6">
        <v>46243</v>
      </c>
      <c r="E49" s="4" t="s">
        <v>5</v>
      </c>
      <c r="F49" s="4" t="s">
        <v>9</v>
      </c>
      <c r="G49" s="5">
        <v>46092</v>
      </c>
      <c r="H49" s="19">
        <f>IF(Tabela2[[#This Row],[REALIZAÇÃO DO ASO]]="","",Tabela2[[#This Row],[REALIZAÇÃO DO ASO]]+365)</f>
        <v>46457</v>
      </c>
      <c r="I4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139 Dia(s) Restante</v>
      </c>
      <c r="J4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4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COLABORADOR]]="AFASTADO","AFASTADO",IF(D49&gt;TODAY(),_xlfn.DAYS(D49,TODAY())&amp;" Dia(s) Restante do "&amp;Tabela2[[#This Row],[STATUS COLABORADOR]],IF(D49&lt;TODAY(),"VENCIDO",IF(D49=TODAY(),"ULTIMO DIA DE CONTRATO",)))))))),"")</f>
        <v>DESLIGADO</v>
      </c>
    </row>
    <row r="50" spans="1:11" hidden="1" x14ac:dyDescent="0.25">
      <c r="A50" s="4" t="s">
        <v>155</v>
      </c>
      <c r="B50" s="4" t="s">
        <v>20</v>
      </c>
      <c r="C50" s="5">
        <v>46105</v>
      </c>
      <c r="D50" s="6">
        <v>46224</v>
      </c>
      <c r="E50" s="4" t="s">
        <v>5</v>
      </c>
      <c r="F50" s="4" t="s">
        <v>9</v>
      </c>
      <c r="G50" s="5">
        <v>46104</v>
      </c>
      <c r="H50" s="19">
        <f>IF(Tabela2[[#This Row],[REALIZAÇÃO DO ASO]]="","",Tabela2[[#This Row],[REALIZAÇÃO DO ASO]]+365)</f>
        <v>46469</v>
      </c>
      <c r="I5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151 Dia(s) Restante</v>
      </c>
      <c r="J5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COLABORADOR]]="AFASTADO","AFASTADO",IF(D50&gt;TODAY(),_xlfn.DAYS(D50,TODAY())&amp;" Dia(s) Restante do "&amp;Tabela2[[#This Row],[STATUS COLABORADOR]],IF(D50&lt;TODAY(),"VENCIDO",IF(D50=TODAY(),"ULTIMO DIA DE CONTRATO",)))))))),"")</f>
        <v>DESLIGADO</v>
      </c>
    </row>
    <row r="51" spans="1:11" x14ac:dyDescent="0.25">
      <c r="A51" s="4" t="s">
        <v>156</v>
      </c>
      <c r="B51" s="4" t="s">
        <v>122</v>
      </c>
      <c r="C51" s="5">
        <v>46107</v>
      </c>
      <c r="D51" s="6">
        <v>46226</v>
      </c>
      <c r="E51" s="4" t="s">
        <v>5</v>
      </c>
      <c r="F51" s="4" t="s">
        <v>6</v>
      </c>
      <c r="G51" s="5">
        <v>46106</v>
      </c>
      <c r="H51" s="19">
        <f>IF(Tabela2[[#This Row],[REALIZAÇÃO DO ASO]]="","",Tabela2[[#This Row],[REALIZAÇÃO DO ASO]]+365)</f>
        <v>46471</v>
      </c>
      <c r="I5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153 Dia(s) Restante</v>
      </c>
      <c r="J5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COLABORADOR]]="AFASTADO","AFASTADO",IF(D51&gt;TODAY(),_xlfn.DAYS(D51,TODAY())&amp;" Dia(s) Restante do "&amp;Tabela2[[#This Row],[STATUS COLABORADOR]],IF(D51&lt;TODAY(),"VENCIDO",IF(D51=TODAY(),"ULTIMO DIA DE CONTRATO",)))))))),"")</f>
        <v>EFETIVO</v>
      </c>
    </row>
    <row r="52" spans="1:11" hidden="1" x14ac:dyDescent="0.25">
      <c r="A52" s="3" t="s">
        <v>157</v>
      </c>
      <c r="B52" s="4" t="s">
        <v>16</v>
      </c>
      <c r="C52" s="5">
        <v>46112</v>
      </c>
      <c r="D52" s="6">
        <v>46171</v>
      </c>
      <c r="E52" s="4" t="s">
        <v>7</v>
      </c>
      <c r="F52" s="4" t="s">
        <v>9</v>
      </c>
      <c r="G52" s="5">
        <v>46111</v>
      </c>
      <c r="H52" s="19">
        <f>IF(Tabela2[[#This Row],[REALIZAÇÃO DO ASO]]="","",Tabela2[[#This Row],[REALIZAÇÃO DO ASO]]+365)</f>
        <v>46476</v>
      </c>
      <c r="I5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158 Dia(s) Restante</v>
      </c>
      <c r="J5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COLABORADOR]]="AFASTADO","AFASTADO",IF(D52&gt;TODAY(),_xlfn.DAYS(D52,TODAY())&amp;" Dia(s) Restante do "&amp;Tabela2[[#This Row],[STATUS COLABORADOR]],IF(D52&lt;TODAY(),"VENCIDO",IF(D52=TODAY(),"ULTIMO DIA DE CONTRATO",)))))))),"")</f>
        <v>DESLIGADO</v>
      </c>
    </row>
    <row r="53" spans="1:11" hidden="1" x14ac:dyDescent="0.25">
      <c r="A53" s="4" t="s">
        <v>158</v>
      </c>
      <c r="B53" s="4" t="s">
        <v>16</v>
      </c>
      <c r="C53" s="5">
        <v>46113</v>
      </c>
      <c r="D53" s="6">
        <v>46172</v>
      </c>
      <c r="E53" s="4" t="s">
        <v>7</v>
      </c>
      <c r="F53" s="4" t="s">
        <v>9</v>
      </c>
      <c r="G53" s="5">
        <v>46112</v>
      </c>
      <c r="H53" s="19">
        <f>IF(Tabela2[[#This Row],[REALIZAÇÃO DO ASO]]="","",Tabela2[[#This Row],[REALIZAÇÃO DO ASO]]+365)</f>
        <v>46477</v>
      </c>
      <c r="I5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159 Dia(s) Restante</v>
      </c>
      <c r="J5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COLABORADOR]]="AFASTADO","AFASTADO",IF(D53&gt;TODAY(),_xlfn.DAYS(D53,TODAY())&amp;" Dia(s) Restante do "&amp;Tabela2[[#This Row],[STATUS COLABORADOR]],IF(D53&lt;TODAY(),"VENCIDO",IF(D53=TODAY(),"ULTIMO DIA DE CONTRATO",)))))))),"")</f>
        <v>DESLIGADO</v>
      </c>
    </row>
    <row r="54" spans="1:11" hidden="1" x14ac:dyDescent="0.25">
      <c r="A54" s="4" t="s">
        <v>159</v>
      </c>
      <c r="B54" s="4" t="s">
        <v>16</v>
      </c>
      <c r="C54" s="5">
        <v>46113</v>
      </c>
      <c r="D54" s="6">
        <v>46172</v>
      </c>
      <c r="E54" s="4" t="s">
        <v>7</v>
      </c>
      <c r="F54" s="4" t="s">
        <v>9</v>
      </c>
      <c r="G54" s="5">
        <v>46112</v>
      </c>
      <c r="H54" s="19">
        <f>IF(Tabela2[[#This Row],[REALIZAÇÃO DO ASO]]="","",Tabela2[[#This Row],[REALIZAÇÃO DO ASO]]+365)</f>
        <v>46477</v>
      </c>
      <c r="I5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159 Dia(s) Restante</v>
      </c>
      <c r="J5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COLABORADOR]]="AFASTADO","AFASTADO",IF(D54&gt;TODAY(),_xlfn.DAYS(D54,TODAY())&amp;" Dia(s) Restante do "&amp;Tabela2[[#This Row],[STATUS COLABORADOR]],IF(D54&lt;TODAY(),"VENCIDO",IF(D54=TODAY(),"ULTIMO DIA DE CONTRATO",)))))))),"")</f>
        <v>DESLIGADO</v>
      </c>
    </row>
    <row r="55" spans="1:11" hidden="1" x14ac:dyDescent="0.25">
      <c r="A55" s="4" t="s">
        <v>160</v>
      </c>
      <c r="B55" s="4" t="s">
        <v>19</v>
      </c>
      <c r="C55" s="5" t="s">
        <v>173</v>
      </c>
      <c r="D55" s="6">
        <v>46178</v>
      </c>
      <c r="E55" s="4" t="s">
        <v>7</v>
      </c>
      <c r="F55" s="4" t="s">
        <v>9</v>
      </c>
      <c r="G55" s="5">
        <v>46118</v>
      </c>
      <c r="H55" s="19">
        <f>IF(Tabela2[[#This Row],[REALIZAÇÃO DO ASO]]="","",Tabela2[[#This Row],[REALIZAÇÃO DO ASO]]+365)</f>
        <v>46483</v>
      </c>
      <c r="I5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165 Dia(s) Restante</v>
      </c>
      <c r="J5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COLABORADOR]]="AFASTADO","AFASTADO",IF(D55&gt;TODAY(),_xlfn.DAYS(D55,TODAY())&amp;" Dia(s) Restante do "&amp;Tabela2[[#This Row],[STATUS COLABORADOR]],IF(D55&lt;TODAY(),"VENCIDO",IF(D55=TODAY(),"ULTIMO DIA DE CONTRATO",)))))))),"")</f>
        <v>DESLIGADO</v>
      </c>
    </row>
    <row r="56" spans="1:11" x14ac:dyDescent="0.25">
      <c r="A56" s="4" t="s">
        <v>161</v>
      </c>
      <c r="B56" s="4" t="s">
        <v>20</v>
      </c>
      <c r="C56" s="5" t="s">
        <v>174</v>
      </c>
      <c r="D56" s="6">
        <v>46346</v>
      </c>
      <c r="E56" s="4" t="s">
        <v>5</v>
      </c>
      <c r="F56" s="4" t="s">
        <v>8</v>
      </c>
      <c r="G56" s="5">
        <v>46119</v>
      </c>
      <c r="H56" s="19">
        <f>IF(Tabela2[[#This Row],[REALIZAÇÃO DO ASO]]="","",Tabela2[[#This Row],[REALIZAÇÃO DO ASO]]+365)</f>
        <v>46484</v>
      </c>
      <c r="I5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166 Dia(s) Restante</v>
      </c>
      <c r="J5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COLABORADOR]]="AFASTADO","AFASTADO",IF(D56&gt;TODAY(),_xlfn.DAYS(D56,TODAY())&amp;" Dia(s) Restante do "&amp;Tabela2[[#This Row],[STATUS COLABORADOR]],IF(D56&lt;TODAY(),"VENCIDO",IF(D56=TODAY(),"ULTIMO DIA DE CONTRATO",)))))))),"")</f>
        <v>AFASTADO</v>
      </c>
    </row>
    <row r="57" spans="1:11" x14ac:dyDescent="0.25">
      <c r="A57" s="4" t="s">
        <v>162</v>
      </c>
      <c r="B57" s="4" t="s">
        <v>20</v>
      </c>
      <c r="C57" s="5" t="s">
        <v>175</v>
      </c>
      <c r="D57" s="6">
        <v>46173</v>
      </c>
      <c r="E57" s="4" t="s">
        <v>5</v>
      </c>
      <c r="F57" s="4" t="s">
        <v>6</v>
      </c>
      <c r="G57" s="5">
        <v>46120</v>
      </c>
      <c r="H57" s="19">
        <f>IF(Tabela2[[#This Row],[REALIZAÇÃO DO ASO]]="","",Tabela2[[#This Row],[REALIZAÇÃO DO ASO]]+365)</f>
        <v>46485</v>
      </c>
      <c r="I5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167 Dia(s) Restante</v>
      </c>
      <c r="J5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COLABORADOR]]="AFASTADO","AFASTADO",IF(D57&gt;TODAY(),_xlfn.DAYS(D57,TODAY())&amp;" Dia(s) Restante do "&amp;Tabela2[[#This Row],[STATUS COLABORADOR]],IF(D57&lt;TODAY(),"VENCIDO",IF(D57=TODAY(),"ULTIMO DIA DE CONTRATO",)))))))),"")</f>
        <v>EFETIVO</v>
      </c>
    </row>
    <row r="58" spans="1:11" hidden="1" x14ac:dyDescent="0.25">
      <c r="A58" s="4" t="s">
        <v>163</v>
      </c>
      <c r="B58" s="4" t="s">
        <v>20</v>
      </c>
      <c r="C58" s="5" t="s">
        <v>176</v>
      </c>
      <c r="D58" s="6">
        <v>46173</v>
      </c>
      <c r="E58" s="4" t="s">
        <v>5</v>
      </c>
      <c r="F58" s="4" t="s">
        <v>9</v>
      </c>
      <c r="G58" s="5">
        <v>46121</v>
      </c>
      <c r="H58" s="19">
        <f>IF(Tabela2[[#This Row],[REALIZAÇÃO DO ASO]]="","",Tabela2[[#This Row],[REALIZAÇÃO DO ASO]]+365)</f>
        <v>46486</v>
      </c>
      <c r="I5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5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COLABORADOR]]="AFASTADO","AFASTADO",IF(D58&gt;TODAY(),_xlfn.DAYS(D58,TODAY())&amp;" Dia(s) Restante do "&amp;Tabela2[[#This Row],[STATUS COLABORADOR]],IF(D58&lt;TODAY(),"VENCIDO",IF(D58=TODAY(),"ULTIMO DIA DE CONTRATO",)))))))),"")</f>
        <v>DESLIGADO</v>
      </c>
    </row>
    <row r="59" spans="1:11" hidden="1" x14ac:dyDescent="0.25">
      <c r="A59" s="4" t="s">
        <v>164</v>
      </c>
      <c r="B59" s="4" t="s">
        <v>20</v>
      </c>
      <c r="C59" s="5" t="s">
        <v>176</v>
      </c>
      <c r="D59" s="6">
        <v>46173</v>
      </c>
      <c r="E59" s="4" t="s">
        <v>5</v>
      </c>
      <c r="F59" s="4" t="s">
        <v>9</v>
      </c>
      <c r="G59" s="5">
        <v>46121</v>
      </c>
      <c r="H59" s="19">
        <f>IF(Tabela2[[#This Row],[REALIZAÇÃO DO ASO]]="","",Tabela2[[#This Row],[REALIZAÇÃO DO ASO]]+365)</f>
        <v>46486</v>
      </c>
      <c r="I5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5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5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COLABORADOR]]="AFASTADO","AFASTADO",IF(D59&gt;TODAY(),_xlfn.DAYS(D59,TODAY())&amp;" Dia(s) Restante do "&amp;Tabela2[[#This Row],[STATUS COLABORADOR]],IF(D59&lt;TODAY(),"VENCIDO",IF(D59=TODAY(),"ULTIMO DIA DE CONTRATO",)))))))),"")</f>
        <v>DESLIGADO</v>
      </c>
    </row>
    <row r="60" spans="1:11" hidden="1" x14ac:dyDescent="0.25">
      <c r="A60" s="4" t="s">
        <v>165</v>
      </c>
      <c r="B60" s="4" t="s">
        <v>16</v>
      </c>
      <c r="C60" s="5" t="s">
        <v>176</v>
      </c>
      <c r="D60" s="6">
        <v>46166</v>
      </c>
      <c r="E60" s="4" t="s">
        <v>7</v>
      </c>
      <c r="F60" s="4" t="s">
        <v>9</v>
      </c>
      <c r="G60" s="5">
        <v>46121</v>
      </c>
      <c r="H60" s="19">
        <f>IF(Tabela2[[#This Row],[REALIZAÇÃO DO ASO]]="","",Tabela2[[#This Row],[REALIZAÇÃO DO ASO]]+365)</f>
        <v>46486</v>
      </c>
      <c r="I6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COLABORADOR]]="AFASTADO","AFASTADO",IF(D60&gt;TODAY(),_xlfn.DAYS(D60,TODAY())&amp;" Dia(s) Restante do "&amp;Tabela2[[#This Row],[STATUS COLABORADOR]],IF(D60&lt;TODAY(),"VENCIDO",IF(D60=TODAY(),"ULTIMO DIA DE CONTRATO",)))))))),"")</f>
        <v>DESLIGADO</v>
      </c>
    </row>
    <row r="61" spans="1:11" hidden="1" x14ac:dyDescent="0.25">
      <c r="A61" s="4" t="s">
        <v>166</v>
      </c>
      <c r="B61" s="4" t="s">
        <v>122</v>
      </c>
      <c r="C61" s="5" t="s">
        <v>176</v>
      </c>
      <c r="D61" s="6">
        <v>46173</v>
      </c>
      <c r="E61" s="4" t="s">
        <v>5</v>
      </c>
      <c r="F61" s="4" t="s">
        <v>9</v>
      </c>
      <c r="G61" s="5">
        <v>46121</v>
      </c>
      <c r="H61" s="19">
        <f>IF(Tabela2[[#This Row],[REALIZAÇÃO DO ASO]]="","",Tabela2[[#This Row],[REALIZAÇÃO DO ASO]]+365)</f>
        <v>46486</v>
      </c>
      <c r="I6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COLABORADOR]]="AFASTADO","AFASTADO",IF(D61&gt;TODAY(),_xlfn.DAYS(D61,TODAY())&amp;" Dia(s) Restante do "&amp;Tabela2[[#This Row],[STATUS COLABORADOR]],IF(D61&lt;TODAY(),"VENCIDO",IF(D61=TODAY(),"ULTIMO DIA DE CONTRATO",)))))))),"")</f>
        <v>DESLIGADO</v>
      </c>
    </row>
    <row r="62" spans="1:11" hidden="1" x14ac:dyDescent="0.25">
      <c r="A62" s="4" t="s">
        <v>167</v>
      </c>
      <c r="B62" s="4" t="s">
        <v>122</v>
      </c>
      <c r="C62" s="5" t="s">
        <v>176</v>
      </c>
      <c r="D62" s="6">
        <v>46173</v>
      </c>
      <c r="E62" s="4" t="s">
        <v>5</v>
      </c>
      <c r="F62" s="4" t="s">
        <v>9</v>
      </c>
      <c r="G62" s="5">
        <v>46121</v>
      </c>
      <c r="H62" s="19">
        <f>IF(Tabela2[[#This Row],[REALIZAÇÃO DO ASO]]="","",Tabela2[[#This Row],[REALIZAÇÃO DO ASO]]+365)</f>
        <v>46486</v>
      </c>
      <c r="I6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COLABORADOR]]="AFASTADO","AFASTADO",IF(D62&gt;TODAY(),_xlfn.DAYS(D62,TODAY())&amp;" Dia(s) Restante do "&amp;Tabela2[[#This Row],[STATUS COLABORADOR]],IF(D62&lt;TODAY(),"VENCIDO",IF(D62=TODAY(),"ULTIMO DIA DE CONTRATO",)))))))),"")</f>
        <v>DESLIGADO</v>
      </c>
    </row>
    <row r="63" spans="1:11" hidden="1" x14ac:dyDescent="0.25">
      <c r="A63" s="4" t="s">
        <v>168</v>
      </c>
      <c r="B63" s="4" t="s">
        <v>20</v>
      </c>
      <c r="C63" s="5" t="s">
        <v>176</v>
      </c>
      <c r="D63" s="6">
        <v>46173</v>
      </c>
      <c r="E63" s="4" t="s">
        <v>5</v>
      </c>
      <c r="F63" s="4" t="s">
        <v>9</v>
      </c>
      <c r="G63" s="5">
        <v>46121</v>
      </c>
      <c r="H63" s="19">
        <f>IF(Tabela2[[#This Row],[REALIZAÇÃO DO ASO]]="","",Tabela2[[#This Row],[REALIZAÇÃO DO ASO]]+365)</f>
        <v>46486</v>
      </c>
      <c r="I6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COLABORADOR]]="AFASTADO","AFASTADO",IF(D63&gt;TODAY(),_xlfn.DAYS(D63,TODAY())&amp;" Dia(s) Restante do "&amp;Tabela2[[#This Row],[STATUS COLABORADOR]],IF(D63&lt;TODAY(),"VENCIDO",IF(D63=TODAY(),"ULTIMO DIA DE CONTRATO",)))))))),"")</f>
        <v>DESLIGADO</v>
      </c>
    </row>
    <row r="64" spans="1:11" hidden="1" x14ac:dyDescent="0.25">
      <c r="A64" s="4" t="s">
        <v>169</v>
      </c>
      <c r="B64" s="4" t="s">
        <v>19</v>
      </c>
      <c r="C64" s="5" t="s">
        <v>176</v>
      </c>
      <c r="D64" s="6">
        <v>46173</v>
      </c>
      <c r="E64" s="4" t="s">
        <v>5</v>
      </c>
      <c r="F64" s="4" t="s">
        <v>9</v>
      </c>
      <c r="G64" s="5">
        <v>46121</v>
      </c>
      <c r="H64" s="19">
        <f>IF(Tabela2[[#This Row],[REALIZAÇÃO DO ASO]]="","",Tabela2[[#This Row],[REALIZAÇÃO DO ASO]]+365)</f>
        <v>46486</v>
      </c>
      <c r="I6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COLABORADOR]]="AFASTADO","AFASTADO",IF(D64&gt;TODAY(),_xlfn.DAYS(D64,TODAY())&amp;" Dia(s) Restante do "&amp;Tabela2[[#This Row],[STATUS COLABORADOR]],IF(D64&lt;TODAY(),"VENCIDO",IF(D64=TODAY(),"ULTIMO DIA DE CONTRATO",)))))))),"")</f>
        <v>DESLIGADO</v>
      </c>
    </row>
    <row r="65" spans="1:11" hidden="1" x14ac:dyDescent="0.25">
      <c r="A65" s="4" t="s">
        <v>170</v>
      </c>
      <c r="B65" s="4" t="s">
        <v>19</v>
      </c>
      <c r="C65" s="5" t="s">
        <v>176</v>
      </c>
      <c r="D65" s="6">
        <v>46173</v>
      </c>
      <c r="E65" s="4" t="s">
        <v>5</v>
      </c>
      <c r="F65" s="4" t="s">
        <v>9</v>
      </c>
      <c r="G65" s="5">
        <v>46121</v>
      </c>
      <c r="H65" s="19">
        <f>IF(Tabela2[[#This Row],[REALIZAÇÃO DO ASO]]="","",Tabela2[[#This Row],[REALIZAÇÃO DO ASO]]+365)</f>
        <v>46486</v>
      </c>
      <c r="I6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COLABORADOR]]="AFASTADO","AFASTADO",IF(D65&gt;TODAY(),_xlfn.DAYS(D65,TODAY())&amp;" Dia(s) Restante do "&amp;Tabela2[[#This Row],[STATUS COLABORADOR]],IF(D65&lt;TODAY(),"VENCIDO",IF(D65=TODAY(),"ULTIMO DIA DE CONTRATO",)))))))),"")</f>
        <v>DESLIGADO</v>
      </c>
    </row>
    <row r="66" spans="1:11" hidden="1" x14ac:dyDescent="0.25">
      <c r="A66" s="4" t="s">
        <v>171</v>
      </c>
      <c r="B66" s="4" t="s">
        <v>16</v>
      </c>
      <c r="C66" s="5" t="s">
        <v>176</v>
      </c>
      <c r="D66" s="6">
        <v>46173</v>
      </c>
      <c r="E66" s="4" t="s">
        <v>5</v>
      </c>
      <c r="F66" s="4" t="s">
        <v>9</v>
      </c>
      <c r="G66" s="5">
        <v>46121</v>
      </c>
      <c r="H66" s="19">
        <f>IF(Tabela2[[#This Row],[REALIZAÇÃO DO ASO]]="","",Tabela2[[#This Row],[REALIZAÇÃO DO ASO]]+365)</f>
        <v>46486</v>
      </c>
      <c r="I6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COLABORADOR]]="AFASTADO","AFASTADO",IF(D66&gt;TODAY(),_xlfn.DAYS(D66,TODAY())&amp;" Dia(s) Restante do "&amp;Tabela2[[#This Row],[STATUS COLABORADOR]],IF(D66&lt;TODAY(),"VENCIDO",IF(D66=TODAY(),"ULTIMO DIA DE CONTRATO",)))))))),"")</f>
        <v>DESLIGADO</v>
      </c>
    </row>
    <row r="67" spans="1:11" hidden="1" x14ac:dyDescent="0.25">
      <c r="A67" s="4" t="s">
        <v>172</v>
      </c>
      <c r="B67" s="4" t="s">
        <v>16</v>
      </c>
      <c r="C67" s="5" t="s">
        <v>176</v>
      </c>
      <c r="D67" s="6">
        <v>46166</v>
      </c>
      <c r="E67" s="4" t="s">
        <v>7</v>
      </c>
      <c r="F67" s="4" t="s">
        <v>9</v>
      </c>
      <c r="G67" s="5">
        <v>46121</v>
      </c>
      <c r="H67" s="19">
        <f>IF(Tabela2[[#This Row],[REALIZAÇÃO DO ASO]]="","",Tabela2[[#This Row],[REALIZAÇÃO DO ASO]]+365)</f>
        <v>46486</v>
      </c>
      <c r="I6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168 Dia(s) Restante</v>
      </c>
      <c r="J6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COLABORADOR]]="AFASTADO","AFASTADO",IF(D67&gt;TODAY(),_xlfn.DAYS(D67,TODAY())&amp;" Dia(s) Restante do "&amp;Tabela2[[#This Row],[STATUS COLABORADOR]],IF(D67&lt;TODAY(),"VENCIDO",IF(D67=TODAY(),"ULTIMO DIA DE CONTRATO",)))))))),"")</f>
        <v>DESLIGADO</v>
      </c>
    </row>
    <row r="68" spans="1:11" x14ac:dyDescent="0.25">
      <c r="A68" s="4" t="s">
        <v>177</v>
      </c>
      <c r="B68" s="4" t="s">
        <v>180</v>
      </c>
      <c r="C68" s="5">
        <v>46176</v>
      </c>
      <c r="D68" s="6">
        <v>46325</v>
      </c>
      <c r="E68" s="4" t="s">
        <v>5</v>
      </c>
      <c r="F68" s="4" t="s">
        <v>9</v>
      </c>
      <c r="G68" s="5">
        <v>46122</v>
      </c>
      <c r="H68" s="19">
        <f>IF(Tabela2[[#This Row],[REALIZAÇÃO DO ASO]]="","",Tabela2[[#This Row],[REALIZAÇÃO DO ASO]]+365)</f>
        <v>46487</v>
      </c>
      <c r="I6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169 Dia(s) Restante</v>
      </c>
      <c r="J6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COLABORADOR]]="AFASTADO","AFASTADO",IF(D68&gt;TODAY(),_xlfn.DAYS(D68,TODAY())&amp;" Dia(s) Restante do "&amp;Tabela2[[#This Row],[STATUS COLABORADOR]],IF(D68&lt;TODAY(),"VENCIDO",IF(D68=TODAY(),"ULTIMO DIA DE CONTRATO",)))))))),"")</f>
        <v>DESLIGADO</v>
      </c>
    </row>
    <row r="69" spans="1:11" hidden="1" x14ac:dyDescent="0.25">
      <c r="A69" s="4" t="s">
        <v>178</v>
      </c>
      <c r="B69" s="4" t="s">
        <v>20</v>
      </c>
      <c r="C69" s="5">
        <v>46181</v>
      </c>
      <c r="D69" s="6">
        <v>46270</v>
      </c>
      <c r="E69" s="4" t="s">
        <v>5</v>
      </c>
      <c r="F69" s="4" t="s">
        <v>9</v>
      </c>
      <c r="G69" s="5">
        <v>46178</v>
      </c>
      <c r="H69" s="19">
        <f>IF(Tabela2[[#This Row],[REALIZAÇÃO DO ASO]]="","",Tabela2[[#This Row],[REALIZAÇÃO DO ASO]]+365)</f>
        <v>46543</v>
      </c>
      <c r="I6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225 Dia(s) Restante</v>
      </c>
      <c r="J6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6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COLABORADOR]]="AFASTADO","AFASTADO",IF(D69&gt;TODAY(),_xlfn.DAYS(D69,TODAY())&amp;" Dia(s) Restante do "&amp;Tabela2[[#This Row],[STATUS COLABORADOR]],IF(D69&lt;TODAY(),"VENCIDO",IF(D69=TODAY(),"ULTIMO DIA DE CONTRATO",)))))))),"")</f>
        <v>DESLIGADO</v>
      </c>
    </row>
    <row r="70" spans="1:11" hidden="1" x14ac:dyDescent="0.25">
      <c r="A70" s="3" t="s">
        <v>179</v>
      </c>
      <c r="B70" s="4" t="s">
        <v>152</v>
      </c>
      <c r="C70" s="5">
        <v>46191</v>
      </c>
      <c r="D70" s="6">
        <v>46310</v>
      </c>
      <c r="E70" s="4" t="s">
        <v>5</v>
      </c>
      <c r="F70" s="4" t="s">
        <v>9</v>
      </c>
      <c r="G70" s="5">
        <v>46190</v>
      </c>
      <c r="H70" s="19">
        <f>IF(Tabela2[[#This Row],[REALIZAÇÃO DO ASO]]="","",Tabela2[[#This Row],[REALIZAÇÃO DO ASO]]+365)</f>
        <v>46555</v>
      </c>
      <c r="I7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237 Dia(s) Restante</v>
      </c>
      <c r="J7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COLABORADOR]]="AFASTADO","AFASTADO",IF(D70&gt;TODAY(),_xlfn.DAYS(D70,TODAY())&amp;" Dia(s) Restante do "&amp;Tabela2[[#This Row],[STATUS COLABORADOR]],IF(D70&lt;TODAY(),"VENCIDO",IF(D70=TODAY(),"ULTIMO DIA DE CONTRATO",)))))))),"")</f>
        <v>DESLIGADO</v>
      </c>
    </row>
    <row r="71" spans="1:11" hidden="1" x14ac:dyDescent="0.25">
      <c r="A71" s="3" t="s">
        <v>181</v>
      </c>
      <c r="B71" s="4" t="s">
        <v>147</v>
      </c>
      <c r="C71" s="5">
        <v>46197</v>
      </c>
      <c r="D71" s="6">
        <v>46286</v>
      </c>
      <c r="E71" s="4" t="s">
        <v>5</v>
      </c>
      <c r="F71" s="4" t="s">
        <v>9</v>
      </c>
      <c r="G71" s="5">
        <v>46196</v>
      </c>
      <c r="H71" s="19">
        <f>IF(Tabela2[[#This Row],[REALIZAÇÃO DO ASO]]="","",Tabela2[[#This Row],[REALIZAÇÃO DO ASO]]+365)</f>
        <v>46561</v>
      </c>
      <c r="I7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243 Dia(s) Restante</v>
      </c>
      <c r="J7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COLABORADOR]]="AFASTADO","AFASTADO",IF(D71&gt;TODAY(),_xlfn.DAYS(D71,TODAY())&amp;" Dia(s) Restante do "&amp;Tabela2[[#This Row],[STATUS COLABORADOR]],IF(D71&lt;TODAY(),"VENCIDO",IF(D71=TODAY(),"ULTIMO DIA DE CONTRATO",)))))))),"")</f>
        <v>DESLIGADO</v>
      </c>
    </row>
    <row r="72" spans="1:11" hidden="1" x14ac:dyDescent="0.25">
      <c r="A72" s="4" t="s">
        <v>182</v>
      </c>
      <c r="B72" s="4" t="s">
        <v>20</v>
      </c>
      <c r="C72" s="5">
        <v>46197</v>
      </c>
      <c r="D72" s="6">
        <v>46256</v>
      </c>
      <c r="E72" s="4" t="s">
        <v>7</v>
      </c>
      <c r="F72" s="4" t="s">
        <v>9</v>
      </c>
      <c r="G72" s="5">
        <v>46196</v>
      </c>
      <c r="H72" s="19">
        <f>IF(Tabela2[[#This Row],[REALIZAÇÃO DO ASO]]="","",Tabela2[[#This Row],[REALIZAÇÃO DO ASO]]+365)</f>
        <v>46561</v>
      </c>
      <c r="I7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243 Dia(s) Restante</v>
      </c>
      <c r="J7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COLABORADOR]]="AFASTADO","AFASTADO",IF(D72&gt;TODAY(),_xlfn.DAYS(D72,TODAY())&amp;" Dia(s) Restante do "&amp;Tabela2[[#This Row],[STATUS COLABORADOR]],IF(D72&lt;TODAY(),"VENCIDO",IF(D72=TODAY(),"ULTIMO DIA DE CONTRATO",)))))))),"")</f>
        <v>DESLIGADO</v>
      </c>
    </row>
    <row r="73" spans="1:11" hidden="1" x14ac:dyDescent="0.25">
      <c r="A73" s="4" t="s">
        <v>183</v>
      </c>
      <c r="B73" s="4" t="s">
        <v>152</v>
      </c>
      <c r="C73" s="5">
        <v>46204</v>
      </c>
      <c r="D73" s="6">
        <v>46263</v>
      </c>
      <c r="E73" s="4" t="s">
        <v>7</v>
      </c>
      <c r="F73" s="4" t="s">
        <v>9</v>
      </c>
      <c r="G73" s="5">
        <v>46233</v>
      </c>
      <c r="H73" s="19">
        <f>IF(Tabela2[[#This Row],[REALIZAÇÃO DO ASO]]="","",Tabela2[[#This Row],[REALIZAÇÃO DO ASO]]+365)</f>
        <v>46598</v>
      </c>
      <c r="I7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280 Dia(s) Restante</v>
      </c>
      <c r="J7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COLABORADOR]]="AFASTADO","AFASTADO",IF(D73&gt;TODAY(),_xlfn.DAYS(D73,TODAY())&amp;" Dia(s) Restante do "&amp;Tabela2[[#This Row],[STATUS COLABORADOR]],IF(D73&lt;TODAY(),"VENCIDO",IF(D73=TODAY(),"ULTIMO DIA DE CONTRATO",)))))))),"")</f>
        <v>DESLIGADO</v>
      </c>
    </row>
    <row r="74" spans="1:11" hidden="1" x14ac:dyDescent="0.25">
      <c r="A74" s="3" t="s">
        <v>184</v>
      </c>
      <c r="B74" s="4" t="s">
        <v>19</v>
      </c>
      <c r="C74" s="5">
        <v>46204</v>
      </c>
      <c r="D74" s="6">
        <v>46331</v>
      </c>
      <c r="E74" s="4" t="s">
        <v>5</v>
      </c>
      <c r="F74" s="4" t="s">
        <v>11</v>
      </c>
      <c r="G74" s="5">
        <v>46232</v>
      </c>
      <c r="H74" s="19">
        <f>IF(Tabela2[[#This Row],[REALIZAÇÃO DO ASO]]="","",Tabela2[[#This Row],[REALIZAÇÃO DO ASO]]+365)</f>
        <v>46597</v>
      </c>
      <c r="I7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279 Dia(s) Restante</v>
      </c>
      <c r="J7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COLABORADOR]]="AFASTADO","AFASTADO",IF(D74&gt;TODAY(),_xlfn.DAYS(D74,TODAY())&amp;" Dia(s) Restante do "&amp;Tabela2[[#This Row],[STATUS COLABORADOR]],IF(D74&lt;TODAY(),"VENCIDO",IF(D74=TODAY(),"ULTIMO DIA DE CONTRATO",)))))))),"")</f>
        <v>13 Dia(s) Restante do AVISO PRÉVIO</v>
      </c>
    </row>
    <row r="75" spans="1:11" x14ac:dyDescent="0.25">
      <c r="A75" s="3" t="s">
        <v>185</v>
      </c>
      <c r="B75" s="4" t="s">
        <v>186</v>
      </c>
      <c r="C75" s="5">
        <v>46216</v>
      </c>
      <c r="D75" s="6">
        <v>46320</v>
      </c>
      <c r="E75" s="4" t="s">
        <v>5</v>
      </c>
      <c r="F75" s="4" t="s">
        <v>9</v>
      </c>
      <c r="G75" s="5">
        <v>46206</v>
      </c>
      <c r="H75" s="19">
        <f>IF(Tabela2[[#This Row],[REALIZAÇÃO DO ASO]]="","",Tabela2[[#This Row],[REALIZAÇÃO DO ASO]]+365)</f>
        <v>46571</v>
      </c>
      <c r="I7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253 Dia(s) Restante</v>
      </c>
      <c r="J7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COLABORADOR]]="AFASTADO","AFASTADO",IF(D75&gt;TODAY(),_xlfn.DAYS(D75,TODAY())&amp;" Dia(s) Restante do "&amp;Tabela2[[#This Row],[STATUS COLABORADOR]],IF(D75&lt;TODAY(),"VENCIDO",IF(D75=TODAY(),"ULTIMO DIA DE CONTRATO",)))))))),"")</f>
        <v>DESLIGADO</v>
      </c>
    </row>
    <row r="76" spans="1:11" x14ac:dyDescent="0.25">
      <c r="A76" s="3" t="s">
        <v>187</v>
      </c>
      <c r="B76" s="4" t="s">
        <v>186</v>
      </c>
      <c r="C76" s="5">
        <v>46224</v>
      </c>
      <c r="D76" s="6">
        <v>46328</v>
      </c>
      <c r="E76" s="4" t="s">
        <v>5</v>
      </c>
      <c r="F76" s="4" t="s">
        <v>9</v>
      </c>
      <c r="G76" s="5">
        <v>46223</v>
      </c>
      <c r="H76" s="19">
        <f>IF(Tabela2[[#This Row],[REALIZAÇÃO DO ASO]]="","",Tabela2[[#This Row],[REALIZAÇÃO DO ASO]]+365)</f>
        <v>46588</v>
      </c>
      <c r="I7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270 Dia(s) Restante</v>
      </c>
      <c r="J7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COLABORADOR]]="AFASTADO","AFASTADO",IF(D76&gt;TODAY(),_xlfn.DAYS(D76,TODAY())&amp;" Dia(s) Restante do "&amp;Tabela2[[#This Row],[STATUS COLABORADOR]],IF(D76&lt;TODAY(),"VENCIDO",IF(D76=TODAY(),"ULTIMO DIA DE CONTRATO",)))))))),"")</f>
        <v>DESLIGADO</v>
      </c>
    </row>
    <row r="77" spans="1:11" x14ac:dyDescent="0.25">
      <c r="A77" s="3" t="s">
        <v>188</v>
      </c>
      <c r="B77" s="4" t="s">
        <v>186</v>
      </c>
      <c r="C77" s="5">
        <v>46224</v>
      </c>
      <c r="D77" s="6">
        <v>46328</v>
      </c>
      <c r="E77" s="4" t="s">
        <v>5</v>
      </c>
      <c r="F77" s="4" t="s">
        <v>9</v>
      </c>
      <c r="G77" s="5">
        <v>46223</v>
      </c>
      <c r="H77" s="19">
        <f>IF(Tabela2[[#This Row],[REALIZAÇÃO DO ASO]]="","",Tabela2[[#This Row],[REALIZAÇÃO DO ASO]]+365)</f>
        <v>46588</v>
      </c>
      <c r="I7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270 Dia(s) Restante</v>
      </c>
      <c r="J7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COLABORADOR]]="AFASTADO","AFASTADO",IF(D77&gt;TODAY(),_xlfn.DAYS(D77,TODAY())&amp;" Dia(s) Restante do "&amp;Tabela2[[#This Row],[STATUS COLABORADOR]],IF(D77&lt;TODAY(),"VENCIDO",IF(D77=TODAY(),"ULTIMO DIA DE CONTRATO",)))))))),"")</f>
        <v>DESLIGADO</v>
      </c>
    </row>
    <row r="78" spans="1:11" x14ac:dyDescent="0.25">
      <c r="A78" s="3" t="s">
        <v>189</v>
      </c>
      <c r="B78" s="4" t="s">
        <v>186</v>
      </c>
      <c r="C78" s="5">
        <v>46225</v>
      </c>
      <c r="D78" s="6">
        <v>46329</v>
      </c>
      <c r="E78" s="4" t="s">
        <v>5</v>
      </c>
      <c r="F78" s="4" t="s">
        <v>9</v>
      </c>
      <c r="G78" s="5">
        <v>46224</v>
      </c>
      <c r="H78" s="19">
        <f>IF(Tabela2[[#This Row],[REALIZAÇÃO DO ASO]]="","",Tabela2[[#This Row],[REALIZAÇÃO DO ASO]]+365)</f>
        <v>46589</v>
      </c>
      <c r="I7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271 Dia(s) Restante</v>
      </c>
      <c r="J7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COLABORADOR]]="AFASTADO","AFASTADO",IF(D78&gt;TODAY(),_xlfn.DAYS(D78,TODAY())&amp;" Dia(s) Restante do "&amp;Tabela2[[#This Row],[STATUS COLABORADOR]],IF(D78&lt;TODAY(),"VENCIDO",IF(D78=TODAY(),"ULTIMO DIA DE CONTRATO",)))))))),"")</f>
        <v>DESLIGADO</v>
      </c>
    </row>
    <row r="79" spans="1:11" x14ac:dyDescent="0.25">
      <c r="A79" s="3" t="s">
        <v>190</v>
      </c>
      <c r="B79" s="4" t="s">
        <v>16</v>
      </c>
      <c r="C79" s="5">
        <v>46231</v>
      </c>
      <c r="D79" s="6">
        <v>46335</v>
      </c>
      <c r="E79" s="4" t="s">
        <v>5</v>
      </c>
      <c r="F79" s="4" t="s">
        <v>10</v>
      </c>
      <c r="G79" s="5">
        <v>46230</v>
      </c>
      <c r="H79" s="19">
        <f>IF(Tabela2[[#This Row],[REALIZAÇÃO DO ASO]]="","",Tabela2[[#This Row],[REALIZAÇÃO DO ASO]]+365)</f>
        <v>46595</v>
      </c>
      <c r="I7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277 Dia(s) Restante</v>
      </c>
      <c r="J7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7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COLABORADOR]]="AFASTADO","AFASTADO",IF(D79&gt;TODAY(),_xlfn.DAYS(D79,TODAY())&amp;" Dia(s) Restante do "&amp;Tabela2[[#This Row],[STATUS COLABORADOR]],IF(D79&lt;TODAY(),"VENCIDO",IF(D79=TODAY(),"ULTIMO DIA DE CONTRATO",)))))))),"")</f>
        <v>17 Dia(s) Restante do CONTRATO</v>
      </c>
    </row>
    <row r="80" spans="1:11" hidden="1" x14ac:dyDescent="0.25">
      <c r="A80" s="3" t="s">
        <v>191</v>
      </c>
      <c r="B80" s="4" t="s">
        <v>122</v>
      </c>
      <c r="C80" s="5">
        <v>46253</v>
      </c>
      <c r="D80" s="6">
        <v>46312</v>
      </c>
      <c r="E80" s="4" t="s">
        <v>7</v>
      </c>
      <c r="F80" s="4" t="s">
        <v>9</v>
      </c>
      <c r="G80" s="5">
        <v>46248</v>
      </c>
      <c r="H80" s="19">
        <f>IF(Tabela2[[#This Row],[REALIZAÇÃO DO ASO]]="","",Tabela2[[#This Row],[REALIZAÇÃO DO ASO]]+365)</f>
        <v>46613</v>
      </c>
      <c r="I8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295 Dia(s) Restante</v>
      </c>
      <c r="J8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8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COLABORADOR]]="AFASTADO","AFASTADO",IF(D80&gt;TODAY(),_xlfn.DAYS(D80,TODAY())&amp;" Dia(s) Restante do "&amp;Tabela2[[#This Row],[STATUS COLABORADOR]],IF(D80&lt;TODAY(),"VENCIDO",IF(D80=TODAY(),"ULTIMO DIA DE CONTRATO",)))))))),"")</f>
        <v>DESLIGADO</v>
      </c>
    </row>
    <row r="81" spans="1:11" x14ac:dyDescent="0.25">
      <c r="A81" s="4" t="s">
        <v>125</v>
      </c>
      <c r="B81" s="4" t="s">
        <v>126</v>
      </c>
      <c r="C81" s="5">
        <v>46255</v>
      </c>
      <c r="D81" s="6">
        <v>46314</v>
      </c>
      <c r="E81" s="4" t="s">
        <v>7</v>
      </c>
      <c r="F81" s="4" t="s">
        <v>9</v>
      </c>
      <c r="G81" s="5">
        <v>46254</v>
      </c>
      <c r="H81" s="19">
        <f>IF(Tabela2[[#This Row],[REALIZAÇÃO DO ASO]]="","",Tabela2[[#This Row],[REALIZAÇÃO DO ASO]]+365)</f>
        <v>46619</v>
      </c>
      <c r="I8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>301 Dia(s) Restante</v>
      </c>
      <c r="J8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>DENTRO DO PRAZO</v>
      </c>
      <c r="K8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COLABORADOR]]="AFASTADO","AFASTADO",IF(D81&gt;TODAY(),_xlfn.DAYS(D81,TODAY())&amp;" Dia(s) Restante do "&amp;Tabela2[[#This Row],[STATUS COLABORADOR]],IF(D81&lt;TODAY(),"VENCIDO",IF(D81=TODAY(),"ULTIMO DIA DE CONTRATO",)))))))),"")</f>
        <v>DESLIGADO</v>
      </c>
    </row>
    <row r="82" spans="1:11" x14ac:dyDescent="0.25">
      <c r="A82" s="4"/>
      <c r="B82" s="4"/>
      <c r="C82" s="5"/>
      <c r="D82" s="6"/>
      <c r="E82" s="4"/>
      <c r="F82" s="4"/>
      <c r="G82" s="5"/>
      <c r="H82" s="19" t="str">
        <f>IF(Tabela2[[#This Row],[REALIZAÇÃO DO ASO]]="","",Tabela2[[#This Row],[REALIZAÇÃO DO ASO]]+365)</f>
        <v/>
      </c>
      <c r="I8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COLABORADOR]]="AFASTADO","AFASTADO",IF(D82&gt;TODAY(),_xlfn.DAYS(D82,TODAY())&amp;" Dia(s) Restante do "&amp;Tabela2[[#This Row],[STATUS COLABORADOR]],IF(D82&lt;TODAY(),"VENCIDO",IF(D82=TODAY(),"ULTIMO DIA DE CONTRATO",)))))))),"")</f>
        <v/>
      </c>
    </row>
    <row r="83" spans="1:11" x14ac:dyDescent="0.25">
      <c r="A83" s="4"/>
      <c r="B83" s="4"/>
      <c r="C83" s="5"/>
      <c r="D83" s="6"/>
      <c r="E83" s="4"/>
      <c r="F83" s="4"/>
      <c r="G83" s="5"/>
      <c r="H83" s="19" t="str">
        <f>IF(Tabela2[[#This Row],[REALIZAÇÃO DO ASO]]="","",Tabela2[[#This Row],[REALIZAÇÃO DO ASO]]+365)</f>
        <v/>
      </c>
      <c r="I8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COLABORADOR]]="AFASTADO","AFASTADO",IF(D83&gt;TODAY(),_xlfn.DAYS(D83,TODAY())&amp;" Dia(s) Restante do "&amp;Tabela2[[#This Row],[STATUS COLABORADOR]],IF(D83&lt;TODAY(),"VENCIDO",IF(D83=TODAY(),"ULTIMO DIA DE CONTRATO",)))))))),"")</f>
        <v/>
      </c>
    </row>
    <row r="84" spans="1:11" x14ac:dyDescent="0.25">
      <c r="A84" s="4"/>
      <c r="B84" s="4"/>
      <c r="C84" s="5"/>
      <c r="D84" s="6"/>
      <c r="E84" s="4"/>
      <c r="F84" s="4"/>
      <c r="G84" s="5"/>
      <c r="H84" s="19" t="str">
        <f>IF(Tabela2[[#This Row],[REALIZAÇÃO DO ASO]]="","",Tabela2[[#This Row],[REALIZAÇÃO DO ASO]]+365)</f>
        <v/>
      </c>
      <c r="I8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COLABORADOR]]="AFASTADO","AFASTADO",IF(D84&gt;TODAY(),_xlfn.DAYS(D84,TODAY())&amp;" Dia(s) Restante do "&amp;Tabela2[[#This Row],[STATUS COLABORADOR]],IF(D84&lt;TODAY(),"VENCIDO",IF(D84=TODAY(),"ULTIMO DIA DE CONTRATO",)))))))),"")</f>
        <v/>
      </c>
    </row>
    <row r="85" spans="1:11" x14ac:dyDescent="0.25">
      <c r="A85" s="4"/>
      <c r="B85" s="4"/>
      <c r="C85" s="5"/>
      <c r="D85" s="6"/>
      <c r="E85" s="4"/>
      <c r="F85" s="4"/>
      <c r="G85" s="5"/>
      <c r="H85" s="19" t="str">
        <f>IF(Tabela2[[#This Row],[REALIZAÇÃO DO ASO]]="","",Tabela2[[#This Row],[REALIZAÇÃO DO ASO]]+365)</f>
        <v/>
      </c>
      <c r="I8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COLABORADOR]]="AFASTADO","AFASTADO",IF(D85&gt;TODAY(),_xlfn.DAYS(D85,TODAY())&amp;" Dia(s) Restante do "&amp;Tabela2[[#This Row],[STATUS COLABORADOR]],IF(D85&lt;TODAY(),"VENCIDO",IF(D85=TODAY(),"ULTIMO DIA DE CONTRATO",)))))))),"")</f>
        <v/>
      </c>
    </row>
    <row r="86" spans="1:11" x14ac:dyDescent="0.25">
      <c r="A86" s="4"/>
      <c r="B86" s="4"/>
      <c r="C86" s="5"/>
      <c r="D86" s="6"/>
      <c r="E86" s="4"/>
      <c r="F86" s="4"/>
      <c r="G86" s="5"/>
      <c r="H86" s="19" t="str">
        <f>IF(Tabela2[[#This Row],[REALIZAÇÃO DO ASO]]="","",Tabela2[[#This Row],[REALIZAÇÃO DO ASO]]+365)</f>
        <v/>
      </c>
      <c r="I8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COLABORADOR]]="AFASTADO","AFASTADO",IF(D86&gt;TODAY(),_xlfn.DAYS(D86,TODAY())&amp;" Dia(s) Restante do "&amp;Tabela2[[#This Row],[STATUS COLABORADOR]],IF(D86&lt;TODAY(),"VENCIDO",IF(D86=TODAY(),"ULTIMO DIA DE CONTRATO",)))))))),"")</f>
        <v/>
      </c>
    </row>
    <row r="87" spans="1:11" x14ac:dyDescent="0.25">
      <c r="A87" s="4"/>
      <c r="B87" s="4"/>
      <c r="C87" s="5"/>
      <c r="D87" s="6"/>
      <c r="E87" s="4"/>
      <c r="F87" s="4"/>
      <c r="G87" s="5"/>
      <c r="H87" s="19" t="str">
        <f>IF(Tabela2[[#This Row],[REALIZAÇÃO DO ASO]]="","",Tabela2[[#This Row],[REALIZAÇÃO DO ASO]]+365)</f>
        <v/>
      </c>
      <c r="I8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COLABORADOR]]="AFASTADO","AFASTADO",IF(D87&gt;TODAY(),_xlfn.DAYS(D87,TODAY())&amp;" Dia(s) Restante do "&amp;Tabela2[[#This Row],[STATUS COLABORADOR]],IF(D87&lt;TODAY(),"VENCIDO",IF(D87=TODAY(),"ULTIMO DIA DE CONTRATO",)))))))),"")</f>
        <v/>
      </c>
    </row>
    <row r="88" spans="1:11" x14ac:dyDescent="0.25">
      <c r="A88" s="4"/>
      <c r="B88" s="4"/>
      <c r="C88" s="5"/>
      <c r="D88" s="6"/>
      <c r="E88" s="4"/>
      <c r="F88" s="4"/>
      <c r="G88" s="5"/>
      <c r="H88" s="19" t="str">
        <f>IF(Tabela2[[#This Row],[REALIZAÇÃO DO ASO]]="","",Tabela2[[#This Row],[REALIZAÇÃO DO ASO]]+365)</f>
        <v/>
      </c>
      <c r="I8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COLABORADOR]]="AFASTADO","AFASTADO",IF(D88&gt;TODAY(),_xlfn.DAYS(D88,TODAY())&amp;" Dia(s) Restante do "&amp;Tabela2[[#This Row],[STATUS COLABORADOR]],IF(D88&lt;TODAY(),"VENCIDO",IF(D88=TODAY(),"ULTIMO DIA DE CONTRATO",)))))))),"")</f>
        <v/>
      </c>
    </row>
    <row r="89" spans="1:11" x14ac:dyDescent="0.25">
      <c r="A89" s="4"/>
      <c r="B89" s="4"/>
      <c r="C89" s="5"/>
      <c r="D89" s="6"/>
      <c r="E89" s="4"/>
      <c r="F89" s="4"/>
      <c r="G89" s="5"/>
      <c r="H89" s="19" t="str">
        <f>IF(Tabela2[[#This Row],[REALIZAÇÃO DO ASO]]="","",Tabela2[[#This Row],[REALIZAÇÃO DO ASO]]+365)</f>
        <v/>
      </c>
      <c r="I8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8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8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COLABORADOR]]="AFASTADO","AFASTADO",IF(D89&gt;TODAY(),_xlfn.DAYS(D89,TODAY())&amp;" Dia(s) Restante do "&amp;Tabela2[[#This Row],[STATUS COLABORADOR]],IF(D89&lt;TODAY(),"VENCIDO",IF(D89=TODAY(),"ULTIMO DIA DE CONTRATO",)))))))),"")</f>
        <v/>
      </c>
    </row>
    <row r="90" spans="1:11" x14ac:dyDescent="0.25">
      <c r="A90" s="4"/>
      <c r="B90" s="4"/>
      <c r="C90" s="5"/>
      <c r="D90" s="6"/>
      <c r="E90" s="4"/>
      <c r="F90" s="4"/>
      <c r="G90" s="5"/>
      <c r="H90" s="19" t="str">
        <f>IF(Tabela2[[#This Row],[REALIZAÇÃO DO ASO]]="","",Tabela2[[#This Row],[REALIZAÇÃO DO ASO]]+365)</f>
        <v/>
      </c>
      <c r="I9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COLABORADOR]]="AFASTADO","AFASTADO",IF(D90&gt;TODAY(),_xlfn.DAYS(D90,TODAY())&amp;" Dia(s) Restante do "&amp;Tabela2[[#This Row],[STATUS COLABORADOR]],IF(D90&lt;TODAY(),"VENCIDO",IF(D90=TODAY(),"ULTIMO DIA DE CONTRATO",)))))))),"")</f>
        <v/>
      </c>
    </row>
    <row r="91" spans="1:11" x14ac:dyDescent="0.25">
      <c r="A91" s="4"/>
      <c r="B91" s="4"/>
      <c r="C91" s="5"/>
      <c r="D91" s="6"/>
      <c r="E91" s="4"/>
      <c r="F91" s="4"/>
      <c r="G91" s="5"/>
      <c r="H91" s="19" t="str">
        <f>IF(Tabela2[[#This Row],[REALIZAÇÃO DO ASO]]="","",Tabela2[[#This Row],[REALIZAÇÃO DO ASO]]+365)</f>
        <v/>
      </c>
      <c r="I9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COLABORADOR]]="AFASTADO","AFASTADO",IF(D91&gt;TODAY(),_xlfn.DAYS(D91,TODAY())&amp;" Dia(s) Restante do "&amp;Tabela2[[#This Row],[STATUS COLABORADOR]],IF(D91&lt;TODAY(),"VENCIDO",IF(D91=TODAY(),"ULTIMO DIA DE CONTRATO",)))))))),"")</f>
        <v/>
      </c>
    </row>
    <row r="92" spans="1:11" x14ac:dyDescent="0.25">
      <c r="A92" s="4"/>
      <c r="B92" s="4"/>
      <c r="C92" s="5"/>
      <c r="D92" s="6"/>
      <c r="E92" s="4"/>
      <c r="F92" s="4"/>
      <c r="G92" s="5"/>
      <c r="H92" s="19" t="str">
        <f>IF(Tabela2[[#This Row],[REALIZAÇÃO DO ASO]]="","",Tabela2[[#This Row],[REALIZAÇÃO DO ASO]]+365)</f>
        <v/>
      </c>
      <c r="I9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COLABORADOR]]="AFASTADO","AFASTADO",IF(D92&gt;TODAY(),_xlfn.DAYS(D92,TODAY())&amp;" Dia(s) Restante do "&amp;Tabela2[[#This Row],[STATUS COLABORADOR]],IF(D92&lt;TODAY(),"VENCIDO",IF(D92=TODAY(),"ULTIMO DIA DE CONTRATO",)))))))),"")</f>
        <v/>
      </c>
    </row>
    <row r="93" spans="1:11" x14ac:dyDescent="0.25">
      <c r="A93" s="4"/>
      <c r="B93" s="4"/>
      <c r="C93" s="5"/>
      <c r="D93" s="6"/>
      <c r="E93" s="4"/>
      <c r="F93" s="4"/>
      <c r="G93" s="5"/>
      <c r="H93" s="19" t="str">
        <f>IF(Tabela2[[#This Row],[REALIZAÇÃO DO ASO]]="","",Tabela2[[#This Row],[REALIZAÇÃO DO ASO]]+365)</f>
        <v/>
      </c>
      <c r="I9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COLABORADOR]]="AFASTADO","AFASTADO",IF(D93&gt;TODAY(),_xlfn.DAYS(D93,TODAY())&amp;" Dia(s) Restante do "&amp;Tabela2[[#This Row],[STATUS COLABORADOR]],IF(D93&lt;TODAY(),"VENCIDO",IF(D93=TODAY(),"ULTIMO DIA DE CONTRATO",)))))))),"")</f>
        <v/>
      </c>
    </row>
    <row r="94" spans="1:11" x14ac:dyDescent="0.25">
      <c r="A94" s="4"/>
      <c r="B94" s="4"/>
      <c r="C94" s="5"/>
      <c r="D94" s="6"/>
      <c r="E94" s="4"/>
      <c r="F94" s="4"/>
      <c r="G94" s="5"/>
      <c r="H94" s="19" t="str">
        <f>IF(Tabela2[[#This Row],[REALIZAÇÃO DO ASO]]="","",Tabela2[[#This Row],[REALIZAÇÃO DO ASO]]+365)</f>
        <v/>
      </c>
      <c r="I9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COLABORADOR]]="AFASTADO","AFASTADO",IF(D94&gt;TODAY(),_xlfn.DAYS(D94,TODAY())&amp;" Dia(s) Restante do "&amp;Tabela2[[#This Row],[STATUS COLABORADOR]],IF(D94&lt;TODAY(),"VENCIDO",IF(D94=TODAY(),"ULTIMO DIA DE CONTRATO",)))))))),"")</f>
        <v/>
      </c>
    </row>
    <row r="95" spans="1:11" x14ac:dyDescent="0.25">
      <c r="A95" s="4"/>
      <c r="B95" s="4"/>
      <c r="C95" s="5"/>
      <c r="D95" s="6"/>
      <c r="E95" s="4"/>
      <c r="F95" s="4"/>
      <c r="G95" s="5"/>
      <c r="H95" s="19" t="str">
        <f>IF(Tabela2[[#This Row],[REALIZAÇÃO DO ASO]]="","",Tabela2[[#This Row],[REALIZAÇÃO DO ASO]]+365)</f>
        <v/>
      </c>
      <c r="I9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COLABORADOR]]="AFASTADO","AFASTADO",IF(D95&gt;TODAY(),_xlfn.DAYS(D95,TODAY())&amp;" Dia(s) Restante do "&amp;Tabela2[[#This Row],[STATUS COLABORADOR]],IF(D95&lt;TODAY(),"VENCIDO",IF(D95=TODAY(),"ULTIMO DIA DE CONTRATO",)))))))),"")</f>
        <v/>
      </c>
    </row>
    <row r="96" spans="1:11" x14ac:dyDescent="0.25">
      <c r="A96" s="4"/>
      <c r="B96" s="4"/>
      <c r="C96" s="5"/>
      <c r="D96" s="6"/>
      <c r="E96" s="4"/>
      <c r="F96" s="4"/>
      <c r="G96" s="5"/>
      <c r="H96" s="19" t="str">
        <f>IF(Tabela2[[#This Row],[REALIZAÇÃO DO ASO]]="","",Tabela2[[#This Row],[REALIZAÇÃO DO ASO]]+365)</f>
        <v/>
      </c>
      <c r="I9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COLABORADOR]]="AFASTADO","AFASTADO",IF(D96&gt;TODAY(),_xlfn.DAYS(D96,TODAY())&amp;" Dia(s) Restante do "&amp;Tabela2[[#This Row],[STATUS COLABORADOR]],IF(D96&lt;TODAY(),"VENCIDO",IF(D96=TODAY(),"ULTIMO DIA DE CONTRATO",)))))))),"")</f>
        <v/>
      </c>
    </row>
    <row r="97" spans="1:11" x14ac:dyDescent="0.25">
      <c r="A97" s="4"/>
      <c r="B97" s="4"/>
      <c r="C97" s="5"/>
      <c r="D97" s="6"/>
      <c r="E97" s="4"/>
      <c r="F97" s="4"/>
      <c r="G97" s="5"/>
      <c r="H97" s="19" t="str">
        <f>IF(Tabela2[[#This Row],[REALIZAÇÃO DO ASO]]="","",Tabela2[[#This Row],[REALIZAÇÃO DO ASO]]+365)</f>
        <v/>
      </c>
      <c r="I9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COLABORADOR]]="AFASTADO","AFASTADO",IF(D97&gt;TODAY(),_xlfn.DAYS(D97,TODAY())&amp;" Dia(s) Restante do "&amp;Tabela2[[#This Row],[STATUS COLABORADOR]],IF(D97&lt;TODAY(),"VENCIDO",IF(D97=TODAY(),"ULTIMO DIA DE CONTRATO",)))))))),"")</f>
        <v/>
      </c>
    </row>
    <row r="98" spans="1:11" x14ac:dyDescent="0.25">
      <c r="A98" s="4"/>
      <c r="B98" s="4"/>
      <c r="C98" s="5"/>
      <c r="D98" s="6"/>
      <c r="E98" s="4"/>
      <c r="F98" s="4"/>
      <c r="G98" s="5"/>
      <c r="H98" s="19" t="str">
        <f>IF(Tabela2[[#This Row],[REALIZAÇÃO DO ASO]]="","",Tabela2[[#This Row],[REALIZAÇÃO DO ASO]]+365)</f>
        <v/>
      </c>
      <c r="I9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COLABORADOR]]="AFASTADO","AFASTADO",IF(D98&gt;TODAY(),_xlfn.DAYS(D98,TODAY())&amp;" Dia(s) Restante do "&amp;Tabela2[[#This Row],[STATUS COLABORADOR]],IF(D98&lt;TODAY(),"VENCIDO",IF(D98=TODAY(),"ULTIMO DIA DE CONTRATO",)))))))),"")</f>
        <v/>
      </c>
    </row>
    <row r="99" spans="1:11" x14ac:dyDescent="0.25">
      <c r="A99" s="4"/>
      <c r="B99" s="4"/>
      <c r="C99" s="5"/>
      <c r="D99" s="6"/>
      <c r="E99" s="4"/>
      <c r="F99" s="4"/>
      <c r="G99" s="5"/>
      <c r="H99" s="19" t="str">
        <f>IF(Tabela2[[#This Row],[REALIZAÇÃO DO ASO]]="","",Tabela2[[#This Row],[REALIZAÇÃO DO ASO]]+365)</f>
        <v/>
      </c>
      <c r="I9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9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9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COLABORADOR]]="AFASTADO","AFASTADO",IF(D99&gt;TODAY(),_xlfn.DAYS(D99,TODAY())&amp;" Dia(s) Restante do "&amp;Tabela2[[#This Row],[STATUS COLABORADOR]],IF(D99&lt;TODAY(),"VENCIDO",IF(D99=TODAY(),"ULTIMO DIA DE CONTRATO",)))))))),"")</f>
        <v/>
      </c>
    </row>
    <row r="100" spans="1:11" x14ac:dyDescent="0.25">
      <c r="A100" s="4"/>
      <c r="B100" s="4"/>
      <c r="C100" s="5"/>
      <c r="D100" s="6"/>
      <c r="E100" s="4"/>
      <c r="F100" s="4"/>
      <c r="G100" s="5"/>
      <c r="H100" s="19" t="str">
        <f>IF(Tabela2[[#This Row],[REALIZAÇÃO DO ASO]]="","",Tabela2[[#This Row],[REALIZAÇÃO DO ASO]]+365)</f>
        <v/>
      </c>
      <c r="I10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COLABORADOR]]="AFASTADO","AFASTADO",IF(D100&gt;TODAY(),_xlfn.DAYS(D100,TODAY())&amp;" Dia(s) Restante do "&amp;Tabela2[[#This Row],[STATUS COLABORADOR]],IF(D100&lt;TODAY(),"VENCIDO",IF(D100=TODAY(),"ULTIMO DIA DE CONTRATO",)))))))),"")</f>
        <v/>
      </c>
    </row>
    <row r="101" spans="1:11" x14ac:dyDescent="0.25">
      <c r="A101" s="4"/>
      <c r="B101" s="4"/>
      <c r="C101" s="5"/>
      <c r="D101" s="6"/>
      <c r="E101" s="4"/>
      <c r="F101" s="4"/>
      <c r="G101" s="5"/>
      <c r="H101" s="19" t="str">
        <f>IF(Tabela2[[#This Row],[REALIZAÇÃO DO ASO]]="","",Tabela2[[#This Row],[REALIZAÇÃO DO ASO]]+365)</f>
        <v/>
      </c>
      <c r="I10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COLABORADOR]]="AFASTADO","AFASTADO",IF(D101&gt;TODAY(),_xlfn.DAYS(D101,TODAY())&amp;" Dia(s) Restante do "&amp;Tabela2[[#This Row],[STATUS COLABORADOR]],IF(D101&lt;TODAY(),"VENCIDO",IF(D101=TODAY(),"ULTIMO DIA DE CONTRATO",)))))))),"")</f>
        <v/>
      </c>
    </row>
    <row r="102" spans="1:11" x14ac:dyDescent="0.25">
      <c r="A102" s="4"/>
      <c r="B102" s="4"/>
      <c r="C102" s="5"/>
      <c r="D102" s="6"/>
      <c r="E102" s="4"/>
      <c r="F102" s="4"/>
      <c r="G102" s="5"/>
      <c r="H102" s="19" t="str">
        <f>IF(Tabela2[[#This Row],[REALIZAÇÃO DO ASO]]="","",Tabela2[[#This Row],[REALIZAÇÃO DO ASO]]+365)</f>
        <v/>
      </c>
      <c r="I10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COLABORADOR]]="AFASTADO","AFASTADO",IF(D102&gt;TODAY(),_xlfn.DAYS(D102,TODAY())&amp;" Dia(s) Restante do "&amp;Tabela2[[#This Row],[STATUS COLABORADOR]],IF(D102&lt;TODAY(),"VENCIDO",IF(D102=TODAY(),"ULTIMO DIA DE CONTRATO",)))))))),"")</f>
        <v/>
      </c>
    </row>
    <row r="103" spans="1:11" x14ac:dyDescent="0.25">
      <c r="A103" s="4"/>
      <c r="B103" s="4"/>
      <c r="C103" s="5"/>
      <c r="D103" s="6"/>
      <c r="E103" s="4"/>
      <c r="F103" s="4"/>
      <c r="G103" s="5"/>
      <c r="H103" s="19" t="str">
        <f>IF(Tabela2[[#This Row],[REALIZAÇÃO DO ASO]]="","",Tabela2[[#This Row],[REALIZAÇÃO DO ASO]]+365)</f>
        <v/>
      </c>
      <c r="I10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COLABORADOR]]="AFASTADO","AFASTADO",IF(D103&gt;TODAY(),_xlfn.DAYS(D103,TODAY())&amp;" Dia(s) Restante do "&amp;Tabela2[[#This Row],[STATUS COLABORADOR]],IF(D103&lt;TODAY(),"VENCIDO",IF(D103=TODAY(),"ULTIMO DIA DE CONTRATO",)))))))),"")</f>
        <v/>
      </c>
    </row>
    <row r="104" spans="1:11" x14ac:dyDescent="0.25">
      <c r="A104" s="4"/>
      <c r="B104" s="4"/>
      <c r="C104" s="5"/>
      <c r="D104" s="6"/>
      <c r="E104" s="4"/>
      <c r="F104" s="4"/>
      <c r="G104" s="5"/>
      <c r="H104" s="19" t="str">
        <f>IF(Tabela2[[#This Row],[REALIZAÇÃO DO ASO]]="","",Tabela2[[#This Row],[REALIZAÇÃO DO ASO]]+365)</f>
        <v/>
      </c>
      <c r="I10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COLABORADOR]]="AFASTADO","AFASTADO",IF(D104&gt;TODAY(),_xlfn.DAYS(D104,TODAY())&amp;" Dia(s) Restante do "&amp;Tabela2[[#This Row],[STATUS COLABORADOR]],IF(D104&lt;TODAY(),"VENCIDO",IF(D104=TODAY(),"ULTIMO DIA DE CONTRATO",)))))))),"")</f>
        <v/>
      </c>
    </row>
    <row r="105" spans="1:11" x14ac:dyDescent="0.25">
      <c r="A105" s="4"/>
      <c r="B105" s="4"/>
      <c r="C105" s="5"/>
      <c r="D105" s="6"/>
      <c r="E105" s="4"/>
      <c r="F105" s="4"/>
      <c r="G105" s="5"/>
      <c r="H105" s="19" t="str">
        <f>IF(Tabela2[[#This Row],[REALIZAÇÃO DO ASO]]="","",Tabela2[[#This Row],[REALIZAÇÃO DO ASO]]+365)</f>
        <v/>
      </c>
      <c r="I10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COLABORADOR]]="AFASTADO","AFASTADO",IF(D105&gt;TODAY(),_xlfn.DAYS(D105,TODAY())&amp;" Dia(s) Restante do "&amp;Tabela2[[#This Row],[STATUS COLABORADOR]],IF(D105&lt;TODAY(),"VENCIDO",IF(D105=TODAY(),"ULTIMO DIA DE CONTRATO",)))))))),"")</f>
        <v/>
      </c>
    </row>
    <row r="106" spans="1:11" x14ac:dyDescent="0.25">
      <c r="A106" s="4"/>
      <c r="B106" s="4"/>
      <c r="C106" s="5"/>
      <c r="D106" s="6"/>
      <c r="E106" s="4"/>
      <c r="F106" s="4"/>
      <c r="G106" s="5"/>
      <c r="H106" s="19" t="str">
        <f>IF(Tabela2[[#This Row],[REALIZAÇÃO DO ASO]]="","",Tabela2[[#This Row],[REALIZAÇÃO DO ASO]]+365)</f>
        <v/>
      </c>
      <c r="I10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COLABORADOR]]="AFASTADO","AFASTADO",IF(D106&gt;TODAY(),_xlfn.DAYS(D106,TODAY())&amp;" Dia(s) Restante do "&amp;Tabela2[[#This Row],[STATUS COLABORADOR]],IF(D106&lt;TODAY(),"VENCIDO",IF(D106=TODAY(),"ULTIMO DIA DE CONTRATO",)))))))),"")</f>
        <v/>
      </c>
    </row>
    <row r="107" spans="1:11" x14ac:dyDescent="0.25">
      <c r="A107" s="4"/>
      <c r="B107" s="4"/>
      <c r="C107" s="5"/>
      <c r="D107" s="6"/>
      <c r="E107" s="4"/>
      <c r="F107" s="4"/>
      <c r="G107" s="5"/>
      <c r="H107" s="19" t="str">
        <f>IF(Tabela2[[#This Row],[REALIZAÇÃO DO ASO]]="","",Tabela2[[#This Row],[REALIZAÇÃO DO ASO]]+365)</f>
        <v/>
      </c>
      <c r="I10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COLABORADOR]]="AFASTADO","AFASTADO",IF(D107&gt;TODAY(),_xlfn.DAYS(D107,TODAY())&amp;" Dia(s) Restante do "&amp;Tabela2[[#This Row],[STATUS COLABORADOR]],IF(D107&lt;TODAY(),"VENCIDO",IF(D107=TODAY(),"ULTIMO DIA DE CONTRATO",)))))))),"")</f>
        <v/>
      </c>
    </row>
    <row r="108" spans="1:11" x14ac:dyDescent="0.25">
      <c r="A108" s="4"/>
      <c r="B108" s="4"/>
      <c r="C108" s="5"/>
      <c r="D108" s="6"/>
      <c r="E108" s="4"/>
      <c r="F108" s="4"/>
      <c r="G108" s="5"/>
      <c r="H108" s="19" t="str">
        <f>IF(Tabela2[[#This Row],[REALIZAÇÃO DO ASO]]="","",Tabela2[[#This Row],[REALIZAÇÃO DO ASO]]+365)</f>
        <v/>
      </c>
      <c r="I10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COLABORADOR]]="AFASTADO","AFASTADO",IF(D108&gt;TODAY(),_xlfn.DAYS(D108,TODAY())&amp;" Dia(s) Restante do "&amp;Tabela2[[#This Row],[STATUS COLABORADOR]],IF(D108&lt;TODAY(),"VENCIDO",IF(D108=TODAY(),"ULTIMO DIA DE CONTRATO",)))))))),"")</f>
        <v/>
      </c>
    </row>
    <row r="109" spans="1:11" x14ac:dyDescent="0.25">
      <c r="A109" s="4"/>
      <c r="B109" s="4"/>
      <c r="C109" s="5"/>
      <c r="D109" s="6"/>
      <c r="E109" s="4"/>
      <c r="F109" s="4"/>
      <c r="G109" s="5"/>
      <c r="H109" s="19" t="str">
        <f>IF(Tabela2[[#This Row],[REALIZAÇÃO DO ASO]]="","",Tabela2[[#This Row],[REALIZAÇÃO DO ASO]]+365)</f>
        <v/>
      </c>
      <c r="I10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0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0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COLABORADOR]]="AFASTADO","AFASTADO",IF(D109&gt;TODAY(),_xlfn.DAYS(D109,TODAY())&amp;" Dia(s) Restante do "&amp;Tabela2[[#This Row],[STATUS COLABORADOR]],IF(D109&lt;TODAY(),"VENCIDO",IF(D109=TODAY(),"ULTIMO DIA DE CONTRATO",)))))))),"")</f>
        <v/>
      </c>
    </row>
    <row r="110" spans="1:11" x14ac:dyDescent="0.25">
      <c r="A110" s="4"/>
      <c r="B110" s="4"/>
      <c r="C110" s="5"/>
      <c r="D110" s="6"/>
      <c r="E110" s="4"/>
      <c r="F110" s="4"/>
      <c r="G110" s="5"/>
      <c r="H110" s="19" t="str">
        <f>IF(Tabela2[[#This Row],[REALIZAÇÃO DO ASO]]="","",Tabela2[[#This Row],[REALIZAÇÃO DO ASO]]+365)</f>
        <v/>
      </c>
      <c r="I1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COLABORADOR]]="AFASTADO","AFASTADO",IF(D110&gt;TODAY(),_xlfn.DAYS(D110,TODAY())&amp;" Dia(s) Restante do "&amp;Tabela2[[#This Row],[STATUS COLABORADOR]],IF(D110&lt;TODAY(),"VENCIDO",IF(D110=TODAY(),"ULTIMO DIA DE CONTRATO",)))))))),"")</f>
        <v/>
      </c>
    </row>
    <row r="111" spans="1:11" x14ac:dyDescent="0.25">
      <c r="A111" s="4"/>
      <c r="B111" s="4"/>
      <c r="C111" s="5"/>
      <c r="D111" s="6"/>
      <c r="E111" s="4"/>
      <c r="F111" s="4"/>
      <c r="G111" s="5"/>
      <c r="H111" s="19" t="str">
        <f>IF(Tabela2[[#This Row],[REALIZAÇÃO DO ASO]]="","",Tabela2[[#This Row],[REALIZAÇÃO DO ASO]]+365)</f>
        <v/>
      </c>
      <c r="I11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COLABORADOR]]="AFASTADO","AFASTADO",IF(D111&gt;TODAY(),_xlfn.DAYS(D111,TODAY())&amp;" Dia(s) Restante do "&amp;Tabela2[[#This Row],[STATUS COLABORADOR]],IF(D111&lt;TODAY(),"VENCIDO",IF(D111=TODAY(),"ULTIMO DIA DE CONTRATO",)))))))),"")</f>
        <v/>
      </c>
    </row>
    <row r="112" spans="1:11" x14ac:dyDescent="0.25">
      <c r="A112" s="4"/>
      <c r="B112" s="4"/>
      <c r="C112" s="5"/>
      <c r="D112" s="6"/>
      <c r="E112" s="4"/>
      <c r="F112" s="4"/>
      <c r="G112" s="5"/>
      <c r="H112" s="19" t="str">
        <f>IF(Tabela2[[#This Row],[REALIZAÇÃO DO ASO]]="","",Tabela2[[#This Row],[REALIZAÇÃO DO ASO]]+365)</f>
        <v/>
      </c>
      <c r="I11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COLABORADOR]]="AFASTADO","AFASTADO",IF(D112&gt;TODAY(),_xlfn.DAYS(D112,TODAY())&amp;" Dia(s) Restante do "&amp;Tabela2[[#This Row],[STATUS COLABORADOR]],IF(D112&lt;TODAY(),"VENCIDO",IF(D112=TODAY(),"ULTIMO DIA DE CONTRATO",)))))))),"")</f>
        <v/>
      </c>
    </row>
    <row r="113" spans="1:11" x14ac:dyDescent="0.25">
      <c r="A113" s="4"/>
      <c r="B113" s="4"/>
      <c r="C113" s="5"/>
      <c r="D113" s="6"/>
      <c r="E113" s="4"/>
      <c r="F113" s="4"/>
      <c r="G113" s="5"/>
      <c r="H113" s="19" t="str">
        <f>IF(Tabela2[[#This Row],[REALIZAÇÃO DO ASO]]="","",Tabela2[[#This Row],[REALIZAÇÃO DO ASO]]+365)</f>
        <v/>
      </c>
      <c r="I11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COLABORADOR]]="AFASTADO","AFASTADO",IF(D113&gt;TODAY(),_xlfn.DAYS(D113,TODAY())&amp;" Dia(s) Restante do "&amp;Tabela2[[#This Row],[STATUS COLABORADOR]],IF(D113&lt;TODAY(),"VENCIDO",IF(D113=TODAY(),"ULTIMO DIA DE CONTRATO",)))))))),"")</f>
        <v/>
      </c>
    </row>
    <row r="114" spans="1:11" x14ac:dyDescent="0.25">
      <c r="A114" s="4"/>
      <c r="B114" s="4"/>
      <c r="C114" s="5"/>
      <c r="D114" s="6"/>
      <c r="E114" s="4"/>
      <c r="F114" s="4"/>
      <c r="G114" s="5"/>
      <c r="H114" s="19" t="str">
        <f>IF(Tabela2[[#This Row],[REALIZAÇÃO DO ASO]]="","",Tabela2[[#This Row],[REALIZAÇÃO DO ASO]]+365)</f>
        <v/>
      </c>
      <c r="I11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COLABORADOR]]="AFASTADO","AFASTADO",IF(D114&gt;TODAY(),_xlfn.DAYS(D114,TODAY())&amp;" Dia(s) Restante do "&amp;Tabela2[[#This Row],[STATUS COLABORADOR]],IF(D114&lt;TODAY(),"VENCIDO",IF(D114=TODAY(),"ULTIMO DIA DE CONTRATO",)))))))),"")</f>
        <v/>
      </c>
    </row>
    <row r="115" spans="1:11" x14ac:dyDescent="0.25">
      <c r="A115" s="4"/>
      <c r="B115" s="4"/>
      <c r="C115" s="5"/>
      <c r="D115" s="6"/>
      <c r="E115" s="4"/>
      <c r="F115" s="4"/>
      <c r="G115" s="5"/>
      <c r="H115" s="19" t="str">
        <f>IF(Tabela2[[#This Row],[REALIZAÇÃO DO ASO]]="","",Tabela2[[#This Row],[REALIZAÇÃO DO ASO]]+365)</f>
        <v/>
      </c>
      <c r="I11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COLABORADOR]]="AFASTADO","AFASTADO",IF(D115&gt;TODAY(),_xlfn.DAYS(D115,TODAY())&amp;" Dia(s) Restante do "&amp;Tabela2[[#This Row],[STATUS COLABORADOR]],IF(D115&lt;TODAY(),"VENCIDO",IF(D115=TODAY(),"ULTIMO DIA DE CONTRATO",)))))))),"")</f>
        <v/>
      </c>
    </row>
    <row r="116" spans="1:11" x14ac:dyDescent="0.25">
      <c r="A116" s="4"/>
      <c r="B116" s="4"/>
      <c r="C116" s="5"/>
      <c r="D116" s="6"/>
      <c r="E116" s="4"/>
      <c r="F116" s="4"/>
      <c r="G116" s="5"/>
      <c r="H116" s="19" t="str">
        <f>IF(Tabela2[[#This Row],[REALIZAÇÃO DO ASO]]="","",Tabela2[[#This Row],[REALIZAÇÃO DO ASO]]+365)</f>
        <v/>
      </c>
      <c r="I11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COLABORADOR]]="AFASTADO","AFASTADO",IF(D116&gt;TODAY(),_xlfn.DAYS(D116,TODAY())&amp;" Dia(s) Restante do "&amp;Tabela2[[#This Row],[STATUS COLABORADOR]],IF(D116&lt;TODAY(),"VENCIDO",IF(D116=TODAY(),"ULTIMO DIA DE CONTRATO",)))))))),"")</f>
        <v/>
      </c>
    </row>
    <row r="117" spans="1:11" x14ac:dyDescent="0.25">
      <c r="A117" s="4"/>
      <c r="B117" s="4"/>
      <c r="C117" s="5"/>
      <c r="D117" s="6"/>
      <c r="E117" s="4"/>
      <c r="F117" s="4"/>
      <c r="G117" s="5"/>
      <c r="H117" s="19" t="str">
        <f>IF(Tabela2[[#This Row],[REALIZAÇÃO DO ASO]]="","",Tabela2[[#This Row],[REALIZAÇÃO DO ASO]]+365)</f>
        <v/>
      </c>
      <c r="I11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COLABORADOR]]="AFASTADO","AFASTADO",IF(D117&gt;TODAY(),_xlfn.DAYS(D117,TODAY())&amp;" Dia(s) Restante do "&amp;Tabela2[[#This Row],[STATUS COLABORADOR]],IF(D117&lt;TODAY(),"VENCIDO",IF(D117=TODAY(),"ULTIMO DIA DE CONTRATO",)))))))),"")</f>
        <v/>
      </c>
    </row>
    <row r="118" spans="1:11" x14ac:dyDescent="0.25">
      <c r="A118" s="4"/>
      <c r="B118" s="4"/>
      <c r="C118" s="5"/>
      <c r="D118" s="6"/>
      <c r="E118" s="4"/>
      <c r="F118" s="4"/>
      <c r="G118" s="5"/>
      <c r="H118" s="19" t="str">
        <f>IF(Tabela2[[#This Row],[REALIZAÇÃO DO ASO]]="","",Tabela2[[#This Row],[REALIZAÇÃO DO ASO]]+365)</f>
        <v/>
      </c>
      <c r="I11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COLABORADOR]]="AFASTADO","AFASTADO",IF(D118&gt;TODAY(),_xlfn.DAYS(D118,TODAY())&amp;" Dia(s) Restante do "&amp;Tabela2[[#This Row],[STATUS COLABORADOR]],IF(D118&lt;TODAY(),"VENCIDO",IF(D118=TODAY(),"ULTIMO DIA DE CONTRATO",)))))))),"")</f>
        <v/>
      </c>
    </row>
    <row r="119" spans="1:11" x14ac:dyDescent="0.25">
      <c r="A119" s="4"/>
      <c r="B119" s="4"/>
      <c r="C119" s="5"/>
      <c r="D119" s="6"/>
      <c r="E119" s="4"/>
      <c r="F119" s="4"/>
      <c r="G119" s="5"/>
      <c r="H119" s="19" t="str">
        <f>IF(Tabela2[[#This Row],[REALIZAÇÃO DO ASO]]="","",Tabela2[[#This Row],[REALIZAÇÃO DO ASO]]+365)</f>
        <v/>
      </c>
      <c r="I11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1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1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COLABORADOR]]="AFASTADO","AFASTADO",IF(D119&gt;TODAY(),_xlfn.DAYS(D119,TODAY())&amp;" Dia(s) Restante do "&amp;Tabela2[[#This Row],[STATUS COLABORADOR]],IF(D119&lt;TODAY(),"VENCIDO",IF(D119=TODAY(),"ULTIMO DIA DE CONTRATO",)))))))),"")</f>
        <v/>
      </c>
    </row>
    <row r="120" spans="1:11" x14ac:dyDescent="0.25">
      <c r="A120" s="4"/>
      <c r="B120" s="4"/>
      <c r="C120" s="5"/>
      <c r="D120" s="6"/>
      <c r="E120" s="4"/>
      <c r="F120" s="4"/>
      <c r="G120" s="5"/>
      <c r="H120" s="19" t="str">
        <f>IF(Tabela2[[#This Row],[REALIZAÇÃO DO ASO]]="","",Tabela2[[#This Row],[REALIZAÇÃO DO ASO]]+365)</f>
        <v/>
      </c>
      <c r="I12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COLABORADOR]]="AFASTADO","AFASTADO",IF(D120&gt;TODAY(),_xlfn.DAYS(D120,TODAY())&amp;" Dia(s) Restante do "&amp;Tabela2[[#This Row],[STATUS COLABORADOR]],IF(D120&lt;TODAY(),"VENCIDO",IF(D120=TODAY(),"ULTIMO DIA DE CONTRATO",)))))))),"")</f>
        <v/>
      </c>
    </row>
    <row r="121" spans="1:11" x14ac:dyDescent="0.25">
      <c r="A121" s="4"/>
      <c r="B121" s="4"/>
      <c r="C121" s="5"/>
      <c r="D121" s="6"/>
      <c r="E121" s="4"/>
      <c r="F121" s="4"/>
      <c r="G121" s="5"/>
      <c r="H121" s="19" t="str">
        <f>IF(Tabela2[[#This Row],[REALIZAÇÃO DO ASO]]="","",Tabela2[[#This Row],[REALIZAÇÃO DO ASO]]+365)</f>
        <v/>
      </c>
      <c r="I12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COLABORADOR]]="AFASTADO","AFASTADO",IF(D121&gt;TODAY(),_xlfn.DAYS(D121,TODAY())&amp;" Dia(s) Restante do "&amp;Tabela2[[#This Row],[STATUS COLABORADOR]],IF(D121&lt;TODAY(),"VENCIDO",IF(D121=TODAY(),"ULTIMO DIA DE CONTRATO",)))))))),"")</f>
        <v/>
      </c>
    </row>
    <row r="122" spans="1:11" x14ac:dyDescent="0.25">
      <c r="A122" s="4"/>
      <c r="B122" s="4"/>
      <c r="C122" s="5"/>
      <c r="D122" s="6"/>
      <c r="E122" s="4"/>
      <c r="F122" s="4"/>
      <c r="G122" s="5"/>
      <c r="H122" s="19" t="str">
        <f>IF(Tabela2[[#This Row],[REALIZAÇÃO DO ASO]]="","",Tabela2[[#This Row],[REALIZAÇÃO DO ASO]]+365)</f>
        <v/>
      </c>
      <c r="I12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COLABORADOR]]="AFASTADO","AFASTADO",IF(D122&gt;TODAY(),_xlfn.DAYS(D122,TODAY())&amp;" Dia(s) Restante do "&amp;Tabela2[[#This Row],[STATUS COLABORADOR]],IF(D122&lt;TODAY(),"VENCIDO",IF(D122=TODAY(),"ULTIMO DIA DE CONTRATO",)))))))),"")</f>
        <v/>
      </c>
    </row>
    <row r="123" spans="1:11" x14ac:dyDescent="0.25">
      <c r="A123" s="4"/>
      <c r="B123" s="4"/>
      <c r="C123" s="5"/>
      <c r="D123" s="6"/>
      <c r="E123" s="4"/>
      <c r="F123" s="4"/>
      <c r="G123" s="5"/>
      <c r="H123" s="19" t="str">
        <f>IF(Tabela2[[#This Row],[REALIZAÇÃO DO ASO]]="","",Tabela2[[#This Row],[REALIZAÇÃO DO ASO]]+365)</f>
        <v/>
      </c>
      <c r="I12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COLABORADOR]]="AFASTADO","AFASTADO",IF(D123&gt;TODAY(),_xlfn.DAYS(D123,TODAY())&amp;" Dia(s) Restante do "&amp;Tabela2[[#This Row],[STATUS COLABORADOR]],IF(D123&lt;TODAY(),"VENCIDO",IF(D123=TODAY(),"ULTIMO DIA DE CONTRATO",)))))))),"")</f>
        <v/>
      </c>
    </row>
    <row r="124" spans="1:11" x14ac:dyDescent="0.25">
      <c r="A124" s="4"/>
      <c r="B124" s="4"/>
      <c r="C124" s="5"/>
      <c r="D124" s="6"/>
      <c r="E124" s="4"/>
      <c r="F124" s="4"/>
      <c r="G124" s="5"/>
      <c r="H124" s="19" t="str">
        <f>IF(Tabela2[[#This Row],[REALIZAÇÃO DO ASO]]="","",Tabela2[[#This Row],[REALIZAÇÃO DO ASO]]+365)</f>
        <v/>
      </c>
      <c r="I12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COLABORADOR]]="AFASTADO","AFASTADO",IF(D124&gt;TODAY(),_xlfn.DAYS(D124,TODAY())&amp;" Dia(s) Restante do "&amp;Tabela2[[#This Row],[STATUS COLABORADOR]],IF(D124&lt;TODAY(),"VENCIDO",IF(D124=TODAY(),"ULTIMO DIA DE CONTRATO",)))))))),"")</f>
        <v/>
      </c>
    </row>
    <row r="125" spans="1:11" x14ac:dyDescent="0.25">
      <c r="A125" s="4"/>
      <c r="B125" s="4"/>
      <c r="C125" s="5"/>
      <c r="D125" s="6"/>
      <c r="E125" s="4"/>
      <c r="F125" s="4"/>
      <c r="G125" s="5"/>
      <c r="H125" s="19" t="str">
        <f>IF(Tabela2[[#This Row],[REALIZAÇÃO DO ASO]]="","",Tabela2[[#This Row],[REALIZAÇÃO DO ASO]]+365)</f>
        <v/>
      </c>
      <c r="I12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COLABORADOR]]="AFASTADO","AFASTADO",IF(D125&gt;TODAY(),_xlfn.DAYS(D125,TODAY())&amp;" Dia(s) Restante do "&amp;Tabela2[[#This Row],[STATUS COLABORADOR]],IF(D125&lt;TODAY(),"VENCIDO",IF(D125=TODAY(),"ULTIMO DIA DE CONTRATO",)))))))),"")</f>
        <v/>
      </c>
    </row>
    <row r="126" spans="1:11" x14ac:dyDescent="0.25">
      <c r="A126" s="4"/>
      <c r="B126" s="4"/>
      <c r="C126" s="5"/>
      <c r="D126" s="6"/>
      <c r="E126" s="4"/>
      <c r="F126" s="4"/>
      <c r="G126" s="5"/>
      <c r="H126" s="19" t="str">
        <f>IF(Tabela2[[#This Row],[REALIZAÇÃO DO ASO]]="","",Tabela2[[#This Row],[REALIZAÇÃO DO ASO]]+365)</f>
        <v/>
      </c>
      <c r="I12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COLABORADOR]]="AFASTADO","AFASTADO",IF(D126&gt;TODAY(),_xlfn.DAYS(D126,TODAY())&amp;" Dia(s) Restante do "&amp;Tabela2[[#This Row],[STATUS COLABORADOR]],IF(D126&lt;TODAY(),"VENCIDO",IF(D126=TODAY(),"ULTIMO DIA DE CONTRATO",)))))))),"")</f>
        <v/>
      </c>
    </row>
    <row r="127" spans="1:11" x14ac:dyDescent="0.25">
      <c r="A127" s="4"/>
      <c r="B127" s="4"/>
      <c r="C127" s="5"/>
      <c r="D127" s="6"/>
      <c r="E127" s="4"/>
      <c r="F127" s="4"/>
      <c r="G127" s="5"/>
      <c r="H127" s="19" t="str">
        <f>IF(Tabela2[[#This Row],[REALIZAÇÃO DO ASO]]="","",Tabela2[[#This Row],[REALIZAÇÃO DO ASO]]+365)</f>
        <v/>
      </c>
      <c r="I12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COLABORADOR]]="AFASTADO","AFASTADO",IF(D127&gt;TODAY(),_xlfn.DAYS(D127,TODAY())&amp;" Dia(s) Restante do "&amp;Tabela2[[#This Row],[STATUS COLABORADOR]],IF(D127&lt;TODAY(),"VENCIDO",IF(D127=TODAY(),"ULTIMO DIA DE CONTRATO",)))))))),"")</f>
        <v/>
      </c>
    </row>
    <row r="128" spans="1:11" x14ac:dyDescent="0.25">
      <c r="A128" s="4"/>
      <c r="B128" s="4"/>
      <c r="C128" s="5"/>
      <c r="D128" s="6"/>
      <c r="E128" s="4"/>
      <c r="F128" s="4"/>
      <c r="G128" s="5"/>
      <c r="H128" s="19" t="str">
        <f>IF(Tabela2[[#This Row],[REALIZAÇÃO DO ASO]]="","",Tabela2[[#This Row],[REALIZAÇÃO DO ASO]]+365)</f>
        <v/>
      </c>
      <c r="I12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COLABORADOR]]="AFASTADO","AFASTADO",IF(D128&gt;TODAY(),_xlfn.DAYS(D128,TODAY())&amp;" Dia(s) Restante do "&amp;Tabela2[[#This Row],[STATUS COLABORADOR]],IF(D128&lt;TODAY(),"VENCIDO",IF(D128=TODAY(),"ULTIMO DIA DE CONTRATO",)))))))),"")</f>
        <v/>
      </c>
    </row>
    <row r="129" spans="1:11" x14ac:dyDescent="0.25">
      <c r="A129" s="4"/>
      <c r="B129" s="4"/>
      <c r="C129" s="5"/>
      <c r="D129" s="6"/>
      <c r="E129" s="4"/>
      <c r="F129" s="4"/>
      <c r="G129" s="5"/>
      <c r="H129" s="19" t="str">
        <f>IF(Tabela2[[#This Row],[REALIZAÇÃO DO ASO]]="","",Tabela2[[#This Row],[REALIZAÇÃO DO ASO]]+365)</f>
        <v/>
      </c>
      <c r="I12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2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2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COLABORADOR]]="AFASTADO","AFASTADO",IF(D129&gt;TODAY(),_xlfn.DAYS(D129,TODAY())&amp;" Dia(s) Restante do "&amp;Tabela2[[#This Row],[STATUS COLABORADOR]],IF(D129&lt;TODAY(),"VENCIDO",IF(D129=TODAY(),"ULTIMO DIA DE CONTRATO",)))))))),"")</f>
        <v/>
      </c>
    </row>
    <row r="130" spans="1:11" x14ac:dyDescent="0.25">
      <c r="A130" s="4"/>
      <c r="B130" s="4"/>
      <c r="C130" s="5"/>
      <c r="D130" s="6"/>
      <c r="E130" s="4"/>
      <c r="F130" s="4"/>
      <c r="G130" s="5"/>
      <c r="H130" s="19" t="str">
        <f>IF(Tabela2[[#This Row],[REALIZAÇÃO DO ASO]]="","",Tabela2[[#This Row],[REALIZAÇÃO DO ASO]]+365)</f>
        <v/>
      </c>
      <c r="I13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COLABORADOR]]="AFASTADO","AFASTADO",IF(D130&gt;TODAY(),_xlfn.DAYS(D130,TODAY())&amp;" Dia(s) Restante do "&amp;Tabela2[[#This Row],[STATUS COLABORADOR]],IF(D130&lt;TODAY(),"VENCIDO",IF(D130=TODAY(),"ULTIMO DIA DE CONTRATO",)))))))),"")</f>
        <v/>
      </c>
    </row>
    <row r="131" spans="1:11" x14ac:dyDescent="0.25">
      <c r="A131" s="4"/>
      <c r="B131" s="4"/>
      <c r="C131" s="5"/>
      <c r="D131" s="6"/>
      <c r="E131" s="4"/>
      <c r="F131" s="4"/>
      <c r="G131" s="5"/>
      <c r="H131" s="19" t="str">
        <f>IF(Tabela2[[#This Row],[REALIZAÇÃO DO ASO]]="","",Tabela2[[#This Row],[REALIZAÇÃO DO ASO]]+365)</f>
        <v/>
      </c>
      <c r="I13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COLABORADOR]]="AFASTADO","AFASTADO",IF(D131&gt;TODAY(),_xlfn.DAYS(D131,TODAY())&amp;" Dia(s) Restante do "&amp;Tabela2[[#This Row],[STATUS COLABORADOR]],IF(D131&lt;TODAY(),"VENCIDO",IF(D131=TODAY(),"ULTIMO DIA DE CONTRATO",)))))))),"")</f>
        <v/>
      </c>
    </row>
    <row r="132" spans="1:11" x14ac:dyDescent="0.25">
      <c r="A132" s="4"/>
      <c r="B132" s="4"/>
      <c r="C132" s="5"/>
      <c r="D132" s="6"/>
      <c r="E132" s="4"/>
      <c r="F132" s="4"/>
      <c r="G132" s="5"/>
      <c r="H132" s="19" t="str">
        <f>IF(Tabela2[[#This Row],[REALIZAÇÃO DO ASO]]="","",Tabela2[[#This Row],[REALIZAÇÃO DO ASO]]+365)</f>
        <v/>
      </c>
      <c r="I13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COLABORADOR]]="AFASTADO","AFASTADO",IF(D132&gt;TODAY(),_xlfn.DAYS(D132,TODAY())&amp;" Dia(s) Restante do "&amp;Tabela2[[#This Row],[STATUS COLABORADOR]],IF(D132&lt;TODAY(),"VENCIDO",IF(D132=TODAY(),"ULTIMO DIA DE CONTRATO",)))))))),"")</f>
        <v/>
      </c>
    </row>
    <row r="133" spans="1:11" x14ac:dyDescent="0.25">
      <c r="A133" s="4"/>
      <c r="B133" s="4"/>
      <c r="C133" s="5"/>
      <c r="D133" s="6"/>
      <c r="E133" s="4"/>
      <c r="F133" s="4"/>
      <c r="G133" s="5"/>
      <c r="H133" s="19" t="str">
        <f>IF(Tabela2[[#This Row],[REALIZAÇÃO DO ASO]]="","",Tabela2[[#This Row],[REALIZAÇÃO DO ASO]]+365)</f>
        <v/>
      </c>
      <c r="I13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COLABORADOR]]="AFASTADO","AFASTADO",IF(D133&gt;TODAY(),_xlfn.DAYS(D133,TODAY())&amp;" Dia(s) Restante do "&amp;Tabela2[[#This Row],[STATUS COLABORADOR]],IF(D133&lt;TODAY(),"VENCIDO",IF(D133=TODAY(),"ULTIMO DIA DE CONTRATO",)))))))),"")</f>
        <v/>
      </c>
    </row>
    <row r="134" spans="1:11" x14ac:dyDescent="0.25">
      <c r="A134" s="4"/>
      <c r="B134" s="4"/>
      <c r="C134" s="5"/>
      <c r="D134" s="6"/>
      <c r="E134" s="4"/>
      <c r="F134" s="4"/>
      <c r="G134" s="5"/>
      <c r="H134" s="19" t="str">
        <f>IF(Tabela2[[#This Row],[REALIZAÇÃO DO ASO]]="","",Tabela2[[#This Row],[REALIZAÇÃO DO ASO]]+365)</f>
        <v/>
      </c>
      <c r="I13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COLABORADOR]]="AFASTADO","AFASTADO",IF(D134&gt;TODAY(),_xlfn.DAYS(D134,TODAY())&amp;" Dia(s) Restante do "&amp;Tabela2[[#This Row],[STATUS COLABORADOR]],IF(D134&lt;TODAY(),"VENCIDO",IF(D134=TODAY(),"ULTIMO DIA DE CONTRATO",)))))))),"")</f>
        <v/>
      </c>
    </row>
    <row r="135" spans="1:11" x14ac:dyDescent="0.25">
      <c r="A135" s="4"/>
      <c r="B135" s="4"/>
      <c r="C135" s="5"/>
      <c r="D135" s="6"/>
      <c r="E135" s="4"/>
      <c r="F135" s="4"/>
      <c r="G135" s="5"/>
      <c r="H135" s="19" t="str">
        <f>IF(Tabela2[[#This Row],[REALIZAÇÃO DO ASO]]="","",Tabela2[[#This Row],[REALIZAÇÃO DO ASO]]+365)</f>
        <v/>
      </c>
      <c r="I13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COLABORADOR]]="AFASTADO","AFASTADO",IF(D135&gt;TODAY(),_xlfn.DAYS(D135,TODAY())&amp;" Dia(s) Restante do "&amp;Tabela2[[#This Row],[STATUS COLABORADOR]],IF(D135&lt;TODAY(),"VENCIDO",IF(D135=TODAY(),"ULTIMO DIA DE CONTRATO",)))))))),"")</f>
        <v/>
      </c>
    </row>
    <row r="136" spans="1:11" x14ac:dyDescent="0.25">
      <c r="A136" s="4"/>
      <c r="B136" s="4"/>
      <c r="C136" s="5"/>
      <c r="D136" s="6"/>
      <c r="E136" s="4"/>
      <c r="F136" s="4"/>
      <c r="G136" s="5"/>
      <c r="H136" s="19" t="str">
        <f>IF(Tabela2[[#This Row],[REALIZAÇÃO DO ASO]]="","",Tabela2[[#This Row],[REALIZAÇÃO DO ASO]]+365)</f>
        <v/>
      </c>
      <c r="I13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COLABORADOR]]="AFASTADO","AFASTADO",IF(D136&gt;TODAY(),_xlfn.DAYS(D136,TODAY())&amp;" Dia(s) Restante do "&amp;Tabela2[[#This Row],[STATUS COLABORADOR]],IF(D136&lt;TODAY(),"VENCIDO",IF(D136=TODAY(),"ULTIMO DIA DE CONTRATO",)))))))),"")</f>
        <v/>
      </c>
    </row>
    <row r="137" spans="1:11" x14ac:dyDescent="0.25">
      <c r="A137" s="4"/>
      <c r="B137" s="4"/>
      <c r="C137" s="5"/>
      <c r="D137" s="6"/>
      <c r="E137" s="4"/>
      <c r="F137" s="4"/>
      <c r="G137" s="5"/>
      <c r="H137" s="19" t="str">
        <f>IF(Tabela2[[#This Row],[REALIZAÇÃO DO ASO]]="","",Tabela2[[#This Row],[REALIZAÇÃO DO ASO]]+365)</f>
        <v/>
      </c>
      <c r="I13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COLABORADOR]]="AFASTADO","AFASTADO",IF(D137&gt;TODAY(),_xlfn.DAYS(D137,TODAY())&amp;" Dia(s) Restante do "&amp;Tabela2[[#This Row],[STATUS COLABORADOR]],IF(D137&lt;TODAY(),"VENCIDO",IF(D137=TODAY(),"ULTIMO DIA DE CONTRATO",)))))))),"")</f>
        <v/>
      </c>
    </row>
    <row r="138" spans="1:11" x14ac:dyDescent="0.25">
      <c r="A138" s="4"/>
      <c r="B138" s="4"/>
      <c r="C138" s="5"/>
      <c r="D138" s="6"/>
      <c r="E138" s="4"/>
      <c r="F138" s="4"/>
      <c r="G138" s="5"/>
      <c r="H138" s="19" t="str">
        <f>IF(Tabela2[[#This Row],[REALIZAÇÃO DO ASO]]="","",Tabela2[[#This Row],[REALIZAÇÃO DO ASO]]+365)</f>
        <v/>
      </c>
      <c r="I13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COLABORADOR]]="AFASTADO","AFASTADO",IF(D138&gt;TODAY(),_xlfn.DAYS(D138,TODAY())&amp;" Dia(s) Restante do "&amp;Tabela2[[#This Row],[STATUS COLABORADOR]],IF(D138&lt;TODAY(),"VENCIDO",IF(D138=TODAY(),"ULTIMO DIA DE CONTRATO",)))))))),"")</f>
        <v/>
      </c>
    </row>
    <row r="139" spans="1:11" x14ac:dyDescent="0.25">
      <c r="A139" s="4"/>
      <c r="B139" s="4"/>
      <c r="C139" s="5"/>
      <c r="D139" s="6"/>
      <c r="E139" s="4"/>
      <c r="F139" s="4"/>
      <c r="G139" s="5"/>
      <c r="H139" s="19" t="str">
        <f>IF(Tabela2[[#This Row],[REALIZAÇÃO DO ASO]]="","",Tabela2[[#This Row],[REALIZAÇÃO DO ASO]]+365)</f>
        <v/>
      </c>
      <c r="I13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3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3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COLABORADOR]]="AFASTADO","AFASTADO",IF(D139&gt;TODAY(),_xlfn.DAYS(D139,TODAY())&amp;" Dia(s) Restante do "&amp;Tabela2[[#This Row],[STATUS COLABORADOR]],IF(D139&lt;TODAY(),"VENCIDO",IF(D139=TODAY(),"ULTIMO DIA DE CONTRATO",)))))))),"")</f>
        <v/>
      </c>
    </row>
    <row r="140" spans="1:11" x14ac:dyDescent="0.25">
      <c r="A140" s="4"/>
      <c r="B140" s="4"/>
      <c r="C140" s="5"/>
      <c r="D140" s="6"/>
      <c r="E140" s="4"/>
      <c r="F140" s="4"/>
      <c r="G140" s="5"/>
      <c r="H140" s="19" t="str">
        <f>IF(Tabela2[[#This Row],[REALIZAÇÃO DO ASO]]="","",Tabela2[[#This Row],[REALIZAÇÃO DO ASO]]+365)</f>
        <v/>
      </c>
      <c r="I14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COLABORADOR]]="AFASTADO","AFASTADO",IF(D140&gt;TODAY(),_xlfn.DAYS(D140,TODAY())&amp;" Dia(s) Restante do "&amp;Tabela2[[#This Row],[STATUS COLABORADOR]],IF(D140&lt;TODAY(),"VENCIDO",IF(D140=TODAY(),"ULTIMO DIA DE CONTRATO",)))))))),"")</f>
        <v/>
      </c>
    </row>
    <row r="141" spans="1:11" x14ac:dyDescent="0.25">
      <c r="A141" s="4"/>
      <c r="B141" s="4"/>
      <c r="C141" s="5"/>
      <c r="D141" s="6"/>
      <c r="E141" s="4"/>
      <c r="F141" s="4"/>
      <c r="G141" s="5"/>
      <c r="H141" s="19" t="str">
        <f>IF(Tabela2[[#This Row],[REALIZAÇÃO DO ASO]]="","",Tabela2[[#This Row],[REALIZAÇÃO DO ASO]]+365)</f>
        <v/>
      </c>
      <c r="I14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COLABORADOR]]="AFASTADO","AFASTADO",IF(D141&gt;TODAY(),_xlfn.DAYS(D141,TODAY())&amp;" Dia(s) Restante do "&amp;Tabela2[[#This Row],[STATUS COLABORADOR]],IF(D141&lt;TODAY(),"VENCIDO",IF(D141=TODAY(),"ULTIMO DIA DE CONTRATO",)))))))),"")</f>
        <v/>
      </c>
    </row>
    <row r="142" spans="1:11" x14ac:dyDescent="0.25">
      <c r="A142" s="4"/>
      <c r="B142" s="4"/>
      <c r="C142" s="5"/>
      <c r="D142" s="6"/>
      <c r="E142" s="4"/>
      <c r="F142" s="4"/>
      <c r="G142" s="5"/>
      <c r="H142" s="19" t="str">
        <f>IF(Tabela2[[#This Row],[REALIZAÇÃO DO ASO]]="","",Tabela2[[#This Row],[REALIZAÇÃO DO ASO]]+365)</f>
        <v/>
      </c>
      <c r="I14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COLABORADOR]]="AFASTADO","AFASTADO",IF(D142&gt;TODAY(),_xlfn.DAYS(D142,TODAY())&amp;" Dia(s) Restante do "&amp;Tabela2[[#This Row],[STATUS COLABORADOR]],IF(D142&lt;TODAY(),"VENCIDO",IF(D142=TODAY(),"ULTIMO DIA DE CONTRATO",)))))))),"")</f>
        <v/>
      </c>
    </row>
    <row r="143" spans="1:11" x14ac:dyDescent="0.25">
      <c r="A143" s="4"/>
      <c r="B143" s="4"/>
      <c r="C143" s="5"/>
      <c r="D143" s="6"/>
      <c r="E143" s="4"/>
      <c r="F143" s="4"/>
      <c r="G143" s="5"/>
      <c r="H143" s="19" t="str">
        <f>IF(Tabela2[[#This Row],[REALIZAÇÃO DO ASO]]="","",Tabela2[[#This Row],[REALIZAÇÃO DO ASO]]+365)</f>
        <v/>
      </c>
      <c r="I14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COLABORADOR]]="AFASTADO","AFASTADO",IF(D143&gt;TODAY(),_xlfn.DAYS(D143,TODAY())&amp;" Dia(s) Restante do "&amp;Tabela2[[#This Row],[STATUS COLABORADOR]],IF(D143&lt;TODAY(),"VENCIDO",IF(D143=TODAY(),"ULTIMO DIA DE CONTRATO",)))))))),"")</f>
        <v/>
      </c>
    </row>
    <row r="144" spans="1:11" x14ac:dyDescent="0.25">
      <c r="A144" s="4"/>
      <c r="B144" s="4"/>
      <c r="C144" s="5"/>
      <c r="D144" s="6"/>
      <c r="E144" s="4"/>
      <c r="F144" s="4"/>
      <c r="G144" s="5"/>
      <c r="H144" s="19" t="str">
        <f>IF(Tabela2[[#This Row],[REALIZAÇÃO DO ASO]]="","",Tabela2[[#This Row],[REALIZAÇÃO DO ASO]]+365)</f>
        <v/>
      </c>
      <c r="I14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COLABORADOR]]="AFASTADO","AFASTADO",IF(D144&gt;TODAY(),_xlfn.DAYS(D144,TODAY())&amp;" Dia(s) Restante do "&amp;Tabela2[[#This Row],[STATUS COLABORADOR]],IF(D144&lt;TODAY(),"VENCIDO",IF(D144=TODAY(),"ULTIMO DIA DE CONTRATO",)))))))),"")</f>
        <v/>
      </c>
    </row>
    <row r="145" spans="1:11" x14ac:dyDescent="0.25">
      <c r="A145" s="4"/>
      <c r="B145" s="4"/>
      <c r="C145" s="5"/>
      <c r="D145" s="6"/>
      <c r="E145" s="4"/>
      <c r="F145" s="4"/>
      <c r="G145" s="5"/>
      <c r="H145" s="19" t="str">
        <f>IF(Tabela2[[#This Row],[REALIZAÇÃO DO ASO]]="","",Tabela2[[#This Row],[REALIZAÇÃO DO ASO]]+365)</f>
        <v/>
      </c>
      <c r="I14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COLABORADOR]]="AFASTADO","AFASTADO",IF(D145&gt;TODAY(),_xlfn.DAYS(D145,TODAY())&amp;" Dia(s) Restante do "&amp;Tabela2[[#This Row],[STATUS COLABORADOR]],IF(D145&lt;TODAY(),"VENCIDO",IF(D145=TODAY(),"ULTIMO DIA DE CONTRATO",)))))))),"")</f>
        <v/>
      </c>
    </row>
    <row r="146" spans="1:11" x14ac:dyDescent="0.25">
      <c r="A146" s="4"/>
      <c r="B146" s="4"/>
      <c r="C146" s="5"/>
      <c r="D146" s="6"/>
      <c r="E146" s="4"/>
      <c r="F146" s="4"/>
      <c r="G146" s="5"/>
      <c r="H146" s="19" t="str">
        <f>IF(Tabela2[[#This Row],[REALIZAÇÃO DO ASO]]="","",Tabela2[[#This Row],[REALIZAÇÃO DO ASO]]+365)</f>
        <v/>
      </c>
      <c r="I14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COLABORADOR]]="AFASTADO","AFASTADO",IF(D146&gt;TODAY(),_xlfn.DAYS(D146,TODAY())&amp;" Dia(s) Restante do "&amp;Tabela2[[#This Row],[STATUS COLABORADOR]],IF(D146&lt;TODAY(),"VENCIDO",IF(D146=TODAY(),"ULTIMO DIA DE CONTRATO",)))))))),"")</f>
        <v/>
      </c>
    </row>
    <row r="147" spans="1:11" x14ac:dyDescent="0.25">
      <c r="A147" s="4"/>
      <c r="B147" s="4"/>
      <c r="C147" s="5"/>
      <c r="D147" s="6"/>
      <c r="E147" s="4"/>
      <c r="F147" s="4"/>
      <c r="G147" s="5"/>
      <c r="H147" s="19" t="str">
        <f>IF(Tabela2[[#This Row],[REALIZAÇÃO DO ASO]]="","",Tabela2[[#This Row],[REALIZAÇÃO DO ASO]]+365)</f>
        <v/>
      </c>
      <c r="I14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COLABORADOR]]="AFASTADO","AFASTADO",IF(D147&gt;TODAY(),_xlfn.DAYS(D147,TODAY())&amp;" Dia(s) Restante do "&amp;Tabela2[[#This Row],[STATUS COLABORADOR]],IF(D147&lt;TODAY(),"VENCIDO",IF(D147=TODAY(),"ULTIMO DIA DE CONTRATO",)))))))),"")</f>
        <v/>
      </c>
    </row>
    <row r="148" spans="1:11" x14ac:dyDescent="0.25">
      <c r="A148" s="4"/>
      <c r="B148" s="4"/>
      <c r="C148" s="5"/>
      <c r="D148" s="6"/>
      <c r="E148" s="4"/>
      <c r="F148" s="4"/>
      <c r="G148" s="5"/>
      <c r="H148" s="19" t="str">
        <f>IF(Tabela2[[#This Row],[REALIZAÇÃO DO ASO]]="","",Tabela2[[#This Row],[REALIZAÇÃO DO ASO]]+365)</f>
        <v/>
      </c>
      <c r="I14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COLABORADOR]]="AFASTADO","AFASTADO",IF(D148&gt;TODAY(),_xlfn.DAYS(D148,TODAY())&amp;" Dia(s) Restante do "&amp;Tabela2[[#This Row],[STATUS COLABORADOR]],IF(D148&lt;TODAY(),"VENCIDO",IF(D148=TODAY(),"ULTIMO DIA DE CONTRATO",)))))))),"")</f>
        <v/>
      </c>
    </row>
    <row r="149" spans="1:11" x14ac:dyDescent="0.25">
      <c r="A149" s="4"/>
      <c r="B149" s="4"/>
      <c r="C149" s="5"/>
      <c r="D149" s="6"/>
      <c r="E149" s="4"/>
      <c r="F149" s="4"/>
      <c r="G149" s="5"/>
      <c r="H149" s="19" t="str">
        <f>IF(Tabela2[[#This Row],[REALIZAÇÃO DO ASO]]="","",Tabela2[[#This Row],[REALIZAÇÃO DO ASO]]+365)</f>
        <v/>
      </c>
      <c r="I14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4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4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COLABORADOR]]="AFASTADO","AFASTADO",IF(D149&gt;TODAY(),_xlfn.DAYS(D149,TODAY())&amp;" Dia(s) Restante do "&amp;Tabela2[[#This Row],[STATUS COLABORADOR]],IF(D149&lt;TODAY(),"VENCIDO",IF(D149=TODAY(),"ULTIMO DIA DE CONTRATO",)))))))),"")</f>
        <v/>
      </c>
    </row>
    <row r="150" spans="1:11" x14ac:dyDescent="0.25">
      <c r="A150" s="4"/>
      <c r="B150" s="4"/>
      <c r="C150" s="5"/>
      <c r="D150" s="6"/>
      <c r="E150" s="4"/>
      <c r="F150" s="4"/>
      <c r="G150" s="5"/>
      <c r="H150" s="19" t="str">
        <f>IF(Tabela2[[#This Row],[REALIZAÇÃO DO ASO]]="","",Tabela2[[#This Row],[REALIZAÇÃO DO ASO]]+365)</f>
        <v/>
      </c>
      <c r="I15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COLABORADOR]]="AFASTADO","AFASTADO",IF(D150&gt;TODAY(),_xlfn.DAYS(D150,TODAY())&amp;" Dia(s) Restante do "&amp;Tabela2[[#This Row],[STATUS COLABORADOR]],IF(D150&lt;TODAY(),"VENCIDO",IF(D150=TODAY(),"ULTIMO DIA DE CONTRATO",)))))))),"")</f>
        <v/>
      </c>
    </row>
    <row r="151" spans="1:11" x14ac:dyDescent="0.25">
      <c r="A151" s="4"/>
      <c r="B151" s="4"/>
      <c r="C151" s="5"/>
      <c r="D151" s="6"/>
      <c r="E151" s="4"/>
      <c r="F151" s="4"/>
      <c r="G151" s="5"/>
      <c r="H151" s="19" t="str">
        <f>IF(Tabela2[[#This Row],[REALIZAÇÃO DO ASO]]="","",Tabela2[[#This Row],[REALIZAÇÃO DO ASO]]+365)</f>
        <v/>
      </c>
      <c r="I15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COLABORADOR]]="AFASTADO","AFASTADO",IF(D151&gt;TODAY(),_xlfn.DAYS(D151,TODAY())&amp;" Dia(s) Restante do "&amp;Tabela2[[#This Row],[STATUS COLABORADOR]],IF(D151&lt;TODAY(),"VENCIDO",IF(D151=TODAY(),"ULTIMO DIA DE CONTRATO",)))))))),"")</f>
        <v/>
      </c>
    </row>
    <row r="152" spans="1:11" x14ac:dyDescent="0.25">
      <c r="A152" s="4"/>
      <c r="B152" s="4"/>
      <c r="C152" s="5"/>
      <c r="D152" s="6"/>
      <c r="E152" s="4"/>
      <c r="F152" s="4"/>
      <c r="G152" s="5"/>
      <c r="H152" s="19" t="str">
        <f>IF(Tabela2[[#This Row],[REALIZAÇÃO DO ASO]]="","",Tabela2[[#This Row],[REALIZAÇÃO DO ASO]]+365)</f>
        <v/>
      </c>
      <c r="I15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COLABORADOR]]="AFASTADO","AFASTADO",IF(D152&gt;TODAY(),_xlfn.DAYS(D152,TODAY())&amp;" Dia(s) Restante do "&amp;Tabela2[[#This Row],[STATUS COLABORADOR]],IF(D152&lt;TODAY(),"VENCIDO",IF(D152=TODAY(),"ULTIMO DIA DE CONTRATO",)))))))),"")</f>
        <v/>
      </c>
    </row>
    <row r="153" spans="1:11" x14ac:dyDescent="0.25">
      <c r="A153" s="4"/>
      <c r="B153" s="4"/>
      <c r="C153" s="5"/>
      <c r="D153" s="6"/>
      <c r="E153" s="4"/>
      <c r="F153" s="4"/>
      <c r="G153" s="5"/>
      <c r="H153" s="19" t="str">
        <f>IF(Tabela2[[#This Row],[REALIZAÇÃO DO ASO]]="","",Tabela2[[#This Row],[REALIZAÇÃO DO ASO]]+365)</f>
        <v/>
      </c>
      <c r="I15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COLABORADOR]]="AFASTADO","AFASTADO",IF(D153&gt;TODAY(),_xlfn.DAYS(D153,TODAY())&amp;" Dia(s) Restante do "&amp;Tabela2[[#This Row],[STATUS COLABORADOR]],IF(D153&lt;TODAY(),"VENCIDO",IF(D153=TODAY(),"ULTIMO DIA DE CONTRATO",)))))))),"")</f>
        <v/>
      </c>
    </row>
    <row r="154" spans="1:11" x14ac:dyDescent="0.25">
      <c r="A154" s="4"/>
      <c r="B154" s="4"/>
      <c r="C154" s="5"/>
      <c r="D154" s="6"/>
      <c r="E154" s="4"/>
      <c r="F154" s="4"/>
      <c r="G154" s="5"/>
      <c r="H154" s="19" t="str">
        <f>IF(Tabela2[[#This Row],[REALIZAÇÃO DO ASO]]="","",Tabela2[[#This Row],[REALIZAÇÃO DO ASO]]+365)</f>
        <v/>
      </c>
      <c r="I15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COLABORADOR]]="AFASTADO","AFASTADO",IF(D154&gt;TODAY(),_xlfn.DAYS(D154,TODAY())&amp;" Dia(s) Restante do "&amp;Tabela2[[#This Row],[STATUS COLABORADOR]],IF(D154&lt;TODAY(),"VENCIDO",IF(D154=TODAY(),"ULTIMO DIA DE CONTRATO",)))))))),"")</f>
        <v/>
      </c>
    </row>
    <row r="155" spans="1:11" x14ac:dyDescent="0.25">
      <c r="A155" s="4"/>
      <c r="B155" s="4"/>
      <c r="C155" s="5"/>
      <c r="D155" s="6"/>
      <c r="E155" s="4"/>
      <c r="F155" s="4"/>
      <c r="G155" s="5"/>
      <c r="H155" s="19" t="str">
        <f>IF(Tabela2[[#This Row],[REALIZAÇÃO DO ASO]]="","",Tabela2[[#This Row],[REALIZAÇÃO DO ASO]]+365)</f>
        <v/>
      </c>
      <c r="I15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COLABORADOR]]="AFASTADO","AFASTADO",IF(D155&gt;TODAY(),_xlfn.DAYS(D155,TODAY())&amp;" Dia(s) Restante do "&amp;Tabela2[[#This Row],[STATUS COLABORADOR]],IF(D155&lt;TODAY(),"VENCIDO",IF(D155=TODAY(),"ULTIMO DIA DE CONTRATO",)))))))),"")</f>
        <v/>
      </c>
    </row>
    <row r="156" spans="1:11" x14ac:dyDescent="0.25">
      <c r="A156" s="4"/>
      <c r="B156" s="4"/>
      <c r="C156" s="5"/>
      <c r="D156" s="6"/>
      <c r="E156" s="4"/>
      <c r="F156" s="4"/>
      <c r="G156" s="5"/>
      <c r="H156" s="19" t="str">
        <f>IF(Tabela2[[#This Row],[REALIZAÇÃO DO ASO]]="","",Tabela2[[#This Row],[REALIZAÇÃO DO ASO]]+365)</f>
        <v/>
      </c>
      <c r="I15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COLABORADOR]]="AFASTADO","AFASTADO",IF(D156&gt;TODAY(),_xlfn.DAYS(D156,TODAY())&amp;" Dia(s) Restante do "&amp;Tabela2[[#This Row],[STATUS COLABORADOR]],IF(D156&lt;TODAY(),"VENCIDO",IF(D156=TODAY(),"ULTIMO DIA DE CONTRATO",)))))))),"")</f>
        <v/>
      </c>
    </row>
    <row r="157" spans="1:11" x14ac:dyDescent="0.25">
      <c r="A157" s="4"/>
      <c r="B157" s="4"/>
      <c r="C157" s="5"/>
      <c r="D157" s="6"/>
      <c r="E157" s="4"/>
      <c r="F157" s="4"/>
      <c r="G157" s="5"/>
      <c r="H157" s="19" t="str">
        <f>IF(Tabela2[[#This Row],[REALIZAÇÃO DO ASO]]="","",Tabela2[[#This Row],[REALIZAÇÃO DO ASO]]+365)</f>
        <v/>
      </c>
      <c r="I15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COLABORADOR]]="AFASTADO","AFASTADO",IF(D157&gt;TODAY(),_xlfn.DAYS(D157,TODAY())&amp;" Dia(s) Restante do "&amp;Tabela2[[#This Row],[STATUS COLABORADOR]],IF(D157&lt;TODAY(),"VENCIDO",IF(D157=TODAY(),"ULTIMO DIA DE CONTRATO",)))))))),"")</f>
        <v/>
      </c>
    </row>
    <row r="158" spans="1:11" x14ac:dyDescent="0.25">
      <c r="A158" s="4"/>
      <c r="B158" s="4"/>
      <c r="C158" s="5"/>
      <c r="D158" s="6"/>
      <c r="E158" s="4"/>
      <c r="F158" s="4"/>
      <c r="G158" s="5"/>
      <c r="H158" s="19" t="str">
        <f>IF(Tabela2[[#This Row],[REALIZAÇÃO DO ASO]]="","",Tabela2[[#This Row],[REALIZAÇÃO DO ASO]]+365)</f>
        <v/>
      </c>
      <c r="I15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COLABORADOR]]="AFASTADO","AFASTADO",IF(D158&gt;TODAY(),_xlfn.DAYS(D158,TODAY())&amp;" Dia(s) Restante do "&amp;Tabela2[[#This Row],[STATUS COLABORADOR]],IF(D158&lt;TODAY(),"VENCIDO",IF(D158=TODAY(),"ULTIMO DIA DE CONTRATO",)))))))),"")</f>
        <v/>
      </c>
    </row>
    <row r="159" spans="1:11" x14ac:dyDescent="0.25">
      <c r="A159" s="4"/>
      <c r="B159" s="4"/>
      <c r="C159" s="5"/>
      <c r="D159" s="6"/>
      <c r="E159" s="4"/>
      <c r="F159" s="4"/>
      <c r="G159" s="5"/>
      <c r="H159" s="19" t="str">
        <f>IF(Tabela2[[#This Row],[REALIZAÇÃO DO ASO]]="","",Tabela2[[#This Row],[REALIZAÇÃO DO ASO]]+365)</f>
        <v/>
      </c>
      <c r="I15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5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5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COLABORADOR]]="AFASTADO","AFASTADO",IF(D159&gt;TODAY(),_xlfn.DAYS(D159,TODAY())&amp;" Dia(s) Restante do "&amp;Tabela2[[#This Row],[STATUS COLABORADOR]],IF(D159&lt;TODAY(),"VENCIDO",IF(D159=TODAY(),"ULTIMO DIA DE CONTRATO",)))))))),"")</f>
        <v/>
      </c>
    </row>
    <row r="160" spans="1:11" x14ac:dyDescent="0.25">
      <c r="A160" s="4"/>
      <c r="B160" s="4"/>
      <c r="C160" s="5"/>
      <c r="D160" s="6"/>
      <c r="E160" s="4"/>
      <c r="F160" s="4"/>
      <c r="G160" s="5"/>
      <c r="H160" s="19" t="str">
        <f>IF(Tabela2[[#This Row],[REALIZAÇÃO DO ASO]]="","",Tabela2[[#This Row],[REALIZAÇÃO DO ASO]]+365)</f>
        <v/>
      </c>
      <c r="I16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COLABORADOR]]="AFASTADO","AFASTADO",IF(D160&gt;TODAY(),_xlfn.DAYS(D160,TODAY())&amp;" Dia(s) Restante do "&amp;Tabela2[[#This Row],[STATUS COLABORADOR]],IF(D160&lt;TODAY(),"VENCIDO",IF(D160=TODAY(),"ULTIMO DIA DE CONTRATO",)))))))),"")</f>
        <v/>
      </c>
    </row>
    <row r="161" spans="1:11" x14ac:dyDescent="0.25">
      <c r="A161" s="4"/>
      <c r="B161" s="4"/>
      <c r="C161" s="5"/>
      <c r="D161" s="6"/>
      <c r="E161" s="4"/>
      <c r="F161" s="4"/>
      <c r="G161" s="5"/>
      <c r="H161" s="19" t="str">
        <f>IF(Tabela2[[#This Row],[REALIZAÇÃO DO ASO]]="","",Tabela2[[#This Row],[REALIZAÇÃO DO ASO]]+365)</f>
        <v/>
      </c>
      <c r="I16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COLABORADOR]]="AFASTADO","AFASTADO",IF(D161&gt;TODAY(),_xlfn.DAYS(D161,TODAY())&amp;" Dia(s) Restante do "&amp;Tabela2[[#This Row],[STATUS COLABORADOR]],IF(D161&lt;TODAY(),"VENCIDO",IF(D161=TODAY(),"ULTIMO DIA DE CONTRATO",)))))))),"")</f>
        <v/>
      </c>
    </row>
    <row r="162" spans="1:11" x14ac:dyDescent="0.25">
      <c r="A162" s="4"/>
      <c r="B162" s="4"/>
      <c r="C162" s="5"/>
      <c r="D162" s="6"/>
      <c r="E162" s="4"/>
      <c r="F162" s="4"/>
      <c r="G162" s="5"/>
      <c r="H162" s="19" t="str">
        <f>IF(Tabela2[[#This Row],[REALIZAÇÃO DO ASO]]="","",Tabela2[[#This Row],[REALIZAÇÃO DO ASO]]+365)</f>
        <v/>
      </c>
      <c r="I16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COLABORADOR]]="AFASTADO","AFASTADO",IF(D162&gt;TODAY(),_xlfn.DAYS(D162,TODAY())&amp;" Dia(s) Restante do "&amp;Tabela2[[#This Row],[STATUS COLABORADOR]],IF(D162&lt;TODAY(),"VENCIDO",IF(D162=TODAY(),"ULTIMO DIA DE CONTRATO",)))))))),"")</f>
        <v/>
      </c>
    </row>
    <row r="163" spans="1:11" x14ac:dyDescent="0.25">
      <c r="A163" s="4"/>
      <c r="B163" s="4"/>
      <c r="C163" s="5"/>
      <c r="D163" s="6"/>
      <c r="E163" s="4"/>
      <c r="F163" s="4"/>
      <c r="G163" s="5"/>
      <c r="H163" s="19" t="str">
        <f>IF(Tabela2[[#This Row],[REALIZAÇÃO DO ASO]]="","",Tabela2[[#This Row],[REALIZAÇÃO DO ASO]]+365)</f>
        <v/>
      </c>
      <c r="I16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COLABORADOR]]="AFASTADO","AFASTADO",IF(D163&gt;TODAY(),_xlfn.DAYS(D163,TODAY())&amp;" Dia(s) Restante do "&amp;Tabela2[[#This Row],[STATUS COLABORADOR]],IF(D163&lt;TODAY(),"VENCIDO",IF(D163=TODAY(),"ULTIMO DIA DE CONTRATO",)))))))),"")</f>
        <v/>
      </c>
    </row>
    <row r="164" spans="1:11" x14ac:dyDescent="0.25">
      <c r="A164" s="4"/>
      <c r="B164" s="4"/>
      <c r="C164" s="5"/>
      <c r="D164" s="6"/>
      <c r="E164" s="4"/>
      <c r="F164" s="4"/>
      <c r="G164" s="5"/>
      <c r="H164" s="19" t="str">
        <f>IF(Tabela2[[#This Row],[REALIZAÇÃO DO ASO]]="","",Tabela2[[#This Row],[REALIZAÇÃO DO ASO]]+365)</f>
        <v/>
      </c>
      <c r="I16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COLABORADOR]]="AFASTADO","AFASTADO",IF(D164&gt;TODAY(),_xlfn.DAYS(D164,TODAY())&amp;" Dia(s) Restante do "&amp;Tabela2[[#This Row],[STATUS COLABORADOR]],IF(D164&lt;TODAY(),"VENCIDO",IF(D164=TODAY(),"ULTIMO DIA DE CONTRATO",)))))))),"")</f>
        <v/>
      </c>
    </row>
    <row r="165" spans="1:11" x14ac:dyDescent="0.25">
      <c r="A165" s="4"/>
      <c r="B165" s="4"/>
      <c r="C165" s="5"/>
      <c r="D165" s="6"/>
      <c r="E165" s="4"/>
      <c r="F165" s="4"/>
      <c r="G165" s="5"/>
      <c r="H165" s="19" t="str">
        <f>IF(Tabela2[[#This Row],[REALIZAÇÃO DO ASO]]="","",Tabela2[[#This Row],[REALIZAÇÃO DO ASO]]+365)</f>
        <v/>
      </c>
      <c r="I16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COLABORADOR]]="AFASTADO","AFASTADO",IF(D165&gt;TODAY(),_xlfn.DAYS(D165,TODAY())&amp;" Dia(s) Restante do "&amp;Tabela2[[#This Row],[STATUS COLABORADOR]],IF(D165&lt;TODAY(),"VENCIDO",IF(D165=TODAY(),"ULTIMO DIA DE CONTRATO",)))))))),"")</f>
        <v/>
      </c>
    </row>
    <row r="166" spans="1:11" x14ac:dyDescent="0.25">
      <c r="A166" s="4"/>
      <c r="B166" s="4"/>
      <c r="C166" s="5"/>
      <c r="D166" s="6"/>
      <c r="E166" s="4"/>
      <c r="F166" s="4"/>
      <c r="G166" s="5"/>
      <c r="H166" s="19" t="str">
        <f>IF(Tabela2[[#This Row],[REALIZAÇÃO DO ASO]]="","",Tabela2[[#This Row],[REALIZAÇÃO DO ASO]]+365)</f>
        <v/>
      </c>
      <c r="I16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COLABORADOR]]="AFASTADO","AFASTADO",IF(D166&gt;TODAY(),_xlfn.DAYS(D166,TODAY())&amp;" Dia(s) Restante do "&amp;Tabela2[[#This Row],[STATUS COLABORADOR]],IF(D166&lt;TODAY(),"VENCIDO",IF(D166=TODAY(),"ULTIMO DIA DE CONTRATO",)))))))),"")</f>
        <v/>
      </c>
    </row>
    <row r="167" spans="1:11" x14ac:dyDescent="0.25">
      <c r="A167" s="4"/>
      <c r="B167" s="4"/>
      <c r="C167" s="5"/>
      <c r="D167" s="6"/>
      <c r="E167" s="4"/>
      <c r="F167" s="4"/>
      <c r="G167" s="5"/>
      <c r="H167" s="19" t="str">
        <f>IF(Tabela2[[#This Row],[REALIZAÇÃO DO ASO]]="","",Tabela2[[#This Row],[REALIZAÇÃO DO ASO]]+365)</f>
        <v/>
      </c>
      <c r="I16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COLABORADOR]]="AFASTADO","AFASTADO",IF(D167&gt;TODAY(),_xlfn.DAYS(D167,TODAY())&amp;" Dia(s) Restante do "&amp;Tabela2[[#This Row],[STATUS COLABORADOR]],IF(D167&lt;TODAY(),"VENCIDO",IF(D167=TODAY(),"ULTIMO DIA DE CONTRATO",)))))))),"")</f>
        <v/>
      </c>
    </row>
    <row r="168" spans="1:11" x14ac:dyDescent="0.25">
      <c r="A168" s="4"/>
      <c r="B168" s="4"/>
      <c r="C168" s="5"/>
      <c r="D168" s="6"/>
      <c r="E168" s="4"/>
      <c r="F168" s="4"/>
      <c r="G168" s="5"/>
      <c r="H168" s="19" t="str">
        <f>IF(Tabela2[[#This Row],[REALIZAÇÃO DO ASO]]="","",Tabela2[[#This Row],[REALIZAÇÃO DO ASO]]+365)</f>
        <v/>
      </c>
      <c r="I16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COLABORADOR]]="AFASTADO","AFASTADO",IF(D168&gt;TODAY(),_xlfn.DAYS(D168,TODAY())&amp;" Dia(s) Restante do "&amp;Tabela2[[#This Row],[STATUS COLABORADOR]],IF(D168&lt;TODAY(),"VENCIDO",IF(D168=TODAY(),"ULTIMO DIA DE CONTRATO",)))))))),"")</f>
        <v/>
      </c>
    </row>
    <row r="169" spans="1:11" x14ac:dyDescent="0.25">
      <c r="A169" s="4"/>
      <c r="B169" s="4"/>
      <c r="C169" s="5"/>
      <c r="D169" s="6"/>
      <c r="E169" s="4"/>
      <c r="F169" s="4"/>
      <c r="G169" s="5"/>
      <c r="H169" s="19" t="str">
        <f>IF(Tabela2[[#This Row],[REALIZAÇÃO DO ASO]]="","",Tabela2[[#This Row],[REALIZAÇÃO DO ASO]]+365)</f>
        <v/>
      </c>
      <c r="I16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6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6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COLABORADOR]]="AFASTADO","AFASTADO",IF(D169&gt;TODAY(),_xlfn.DAYS(D169,TODAY())&amp;" Dia(s) Restante do "&amp;Tabela2[[#This Row],[STATUS COLABORADOR]],IF(D169&lt;TODAY(),"VENCIDO",IF(D169=TODAY(),"ULTIMO DIA DE CONTRATO",)))))))),"")</f>
        <v/>
      </c>
    </row>
    <row r="170" spans="1:11" x14ac:dyDescent="0.25">
      <c r="A170" s="4"/>
      <c r="B170" s="4"/>
      <c r="C170" s="5"/>
      <c r="D170" s="6"/>
      <c r="E170" s="4"/>
      <c r="F170" s="4"/>
      <c r="G170" s="5"/>
      <c r="H170" s="19" t="str">
        <f>IF(Tabela2[[#This Row],[REALIZAÇÃO DO ASO]]="","",Tabela2[[#This Row],[REALIZAÇÃO DO ASO]]+365)</f>
        <v/>
      </c>
      <c r="I17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COLABORADOR]]="AFASTADO","AFASTADO",IF(D170&gt;TODAY(),_xlfn.DAYS(D170,TODAY())&amp;" Dia(s) Restante do "&amp;Tabela2[[#This Row],[STATUS COLABORADOR]],IF(D170&lt;TODAY(),"VENCIDO",IF(D170=TODAY(),"ULTIMO DIA DE CONTRATO",)))))))),"")</f>
        <v/>
      </c>
    </row>
    <row r="171" spans="1:11" x14ac:dyDescent="0.25">
      <c r="A171" s="4"/>
      <c r="B171" s="4"/>
      <c r="C171" s="5"/>
      <c r="D171" s="6"/>
      <c r="E171" s="4"/>
      <c r="F171" s="4"/>
      <c r="G171" s="5"/>
      <c r="H171" s="19" t="str">
        <f>IF(Tabela2[[#This Row],[REALIZAÇÃO DO ASO]]="","",Tabela2[[#This Row],[REALIZAÇÃO DO ASO]]+365)</f>
        <v/>
      </c>
      <c r="I17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COLABORADOR]]="AFASTADO","AFASTADO",IF(D171&gt;TODAY(),_xlfn.DAYS(D171,TODAY())&amp;" Dia(s) Restante do "&amp;Tabela2[[#This Row],[STATUS COLABORADOR]],IF(D171&lt;TODAY(),"VENCIDO",IF(D171=TODAY(),"ULTIMO DIA DE CONTRATO",)))))))),"")</f>
        <v/>
      </c>
    </row>
    <row r="172" spans="1:11" x14ac:dyDescent="0.25">
      <c r="A172" s="4"/>
      <c r="B172" s="4"/>
      <c r="C172" s="5"/>
      <c r="D172" s="6"/>
      <c r="E172" s="4"/>
      <c r="F172" s="4"/>
      <c r="G172" s="5"/>
      <c r="H172" s="19" t="str">
        <f>IF(Tabela2[[#This Row],[REALIZAÇÃO DO ASO]]="","",Tabela2[[#This Row],[REALIZAÇÃO DO ASO]]+365)</f>
        <v/>
      </c>
      <c r="I17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COLABORADOR]]="AFASTADO","AFASTADO",IF(D172&gt;TODAY(),_xlfn.DAYS(D172,TODAY())&amp;" Dia(s) Restante do "&amp;Tabela2[[#This Row],[STATUS COLABORADOR]],IF(D172&lt;TODAY(),"VENCIDO",IF(D172=TODAY(),"ULTIMO DIA DE CONTRATO",)))))))),"")</f>
        <v/>
      </c>
    </row>
    <row r="173" spans="1:11" x14ac:dyDescent="0.25">
      <c r="A173" s="4"/>
      <c r="B173" s="4"/>
      <c r="C173" s="5"/>
      <c r="D173" s="6"/>
      <c r="E173" s="4"/>
      <c r="F173" s="4"/>
      <c r="G173" s="5"/>
      <c r="H173" s="19" t="str">
        <f>IF(Tabela2[[#This Row],[REALIZAÇÃO DO ASO]]="","",Tabela2[[#This Row],[REALIZAÇÃO DO ASO]]+365)</f>
        <v/>
      </c>
      <c r="I17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COLABORADOR]]="AFASTADO","AFASTADO",IF(D173&gt;TODAY(),_xlfn.DAYS(D173,TODAY())&amp;" Dia(s) Restante do "&amp;Tabela2[[#This Row],[STATUS COLABORADOR]],IF(D173&lt;TODAY(),"VENCIDO",IF(D173=TODAY(),"ULTIMO DIA DE CONTRATO",)))))))),"")</f>
        <v/>
      </c>
    </row>
    <row r="174" spans="1:11" x14ac:dyDescent="0.25">
      <c r="A174" s="4"/>
      <c r="B174" s="4"/>
      <c r="C174" s="5"/>
      <c r="D174" s="6"/>
      <c r="E174" s="4"/>
      <c r="F174" s="4"/>
      <c r="G174" s="5"/>
      <c r="H174" s="19" t="str">
        <f>IF(Tabela2[[#This Row],[REALIZAÇÃO DO ASO]]="","",Tabela2[[#This Row],[REALIZAÇÃO DO ASO]]+365)</f>
        <v/>
      </c>
      <c r="I17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COLABORADOR]]="AFASTADO","AFASTADO",IF(D174&gt;TODAY(),_xlfn.DAYS(D174,TODAY())&amp;" Dia(s) Restante do "&amp;Tabela2[[#This Row],[STATUS COLABORADOR]],IF(D174&lt;TODAY(),"VENCIDO",IF(D174=TODAY(),"ULTIMO DIA DE CONTRATO",)))))))),"")</f>
        <v/>
      </c>
    </row>
    <row r="175" spans="1:11" x14ac:dyDescent="0.25">
      <c r="A175" s="4"/>
      <c r="B175" s="4"/>
      <c r="C175" s="5"/>
      <c r="D175" s="6"/>
      <c r="E175" s="4"/>
      <c r="F175" s="4"/>
      <c r="G175" s="5"/>
      <c r="H175" s="19" t="str">
        <f>IF(Tabela2[[#This Row],[REALIZAÇÃO DO ASO]]="","",Tabela2[[#This Row],[REALIZAÇÃO DO ASO]]+365)</f>
        <v/>
      </c>
      <c r="I17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COLABORADOR]]="AFASTADO","AFASTADO",IF(D175&gt;TODAY(),_xlfn.DAYS(D175,TODAY())&amp;" Dia(s) Restante do "&amp;Tabela2[[#This Row],[STATUS COLABORADOR]],IF(D175&lt;TODAY(),"VENCIDO",IF(D175=TODAY(),"ULTIMO DIA DE CONTRATO",)))))))),"")</f>
        <v/>
      </c>
    </row>
    <row r="176" spans="1:11" x14ac:dyDescent="0.25">
      <c r="A176" s="4"/>
      <c r="B176" s="4"/>
      <c r="C176" s="5"/>
      <c r="D176" s="6"/>
      <c r="E176" s="4"/>
      <c r="F176" s="4"/>
      <c r="G176" s="5"/>
      <c r="H176" s="19" t="str">
        <f>IF(Tabela2[[#This Row],[REALIZAÇÃO DO ASO]]="","",Tabela2[[#This Row],[REALIZAÇÃO DO ASO]]+365)</f>
        <v/>
      </c>
      <c r="I17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COLABORADOR]]="AFASTADO","AFASTADO",IF(D176&gt;TODAY(),_xlfn.DAYS(D176,TODAY())&amp;" Dia(s) Restante do "&amp;Tabela2[[#This Row],[STATUS COLABORADOR]],IF(D176&lt;TODAY(),"VENCIDO",IF(D176=TODAY(),"ULTIMO DIA DE CONTRATO",)))))))),"")</f>
        <v/>
      </c>
    </row>
    <row r="177" spans="1:11" x14ac:dyDescent="0.25">
      <c r="A177" s="4"/>
      <c r="B177" s="4"/>
      <c r="C177" s="5"/>
      <c r="D177" s="6"/>
      <c r="E177" s="4"/>
      <c r="F177" s="4"/>
      <c r="G177" s="5"/>
      <c r="H177" s="19" t="str">
        <f>IF(Tabela2[[#This Row],[REALIZAÇÃO DO ASO]]="","",Tabela2[[#This Row],[REALIZAÇÃO DO ASO]]+365)</f>
        <v/>
      </c>
      <c r="I17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COLABORADOR]]="AFASTADO","AFASTADO",IF(D177&gt;TODAY(),_xlfn.DAYS(D177,TODAY())&amp;" Dia(s) Restante do "&amp;Tabela2[[#This Row],[STATUS COLABORADOR]],IF(D177&lt;TODAY(),"VENCIDO",IF(D177=TODAY(),"ULTIMO DIA DE CONTRATO",)))))))),"")</f>
        <v/>
      </c>
    </row>
    <row r="178" spans="1:11" x14ac:dyDescent="0.25">
      <c r="A178" s="4"/>
      <c r="B178" s="4"/>
      <c r="C178" s="5"/>
      <c r="D178" s="6"/>
      <c r="E178" s="4"/>
      <c r="F178" s="4"/>
      <c r="G178" s="5"/>
      <c r="H178" s="19" t="str">
        <f>IF(Tabela2[[#This Row],[REALIZAÇÃO DO ASO]]="","",Tabela2[[#This Row],[REALIZAÇÃO DO ASO]]+365)</f>
        <v/>
      </c>
      <c r="I17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COLABORADOR]]="AFASTADO","AFASTADO",IF(D178&gt;TODAY(),_xlfn.DAYS(D178,TODAY())&amp;" Dia(s) Restante do "&amp;Tabela2[[#This Row],[STATUS COLABORADOR]],IF(D178&lt;TODAY(),"VENCIDO",IF(D178=TODAY(),"ULTIMO DIA DE CONTRATO",)))))))),"")</f>
        <v/>
      </c>
    </row>
    <row r="179" spans="1:11" x14ac:dyDescent="0.25">
      <c r="A179" s="4"/>
      <c r="B179" s="4"/>
      <c r="C179" s="5"/>
      <c r="D179" s="6"/>
      <c r="E179" s="4"/>
      <c r="F179" s="4"/>
      <c r="G179" s="5"/>
      <c r="H179" s="19" t="str">
        <f>IF(Tabela2[[#This Row],[REALIZAÇÃO DO ASO]]="","",Tabela2[[#This Row],[REALIZAÇÃO DO ASO]]+365)</f>
        <v/>
      </c>
      <c r="I17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7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7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COLABORADOR]]="AFASTADO","AFASTADO",IF(D179&gt;TODAY(),_xlfn.DAYS(D179,TODAY())&amp;" Dia(s) Restante do "&amp;Tabela2[[#This Row],[STATUS COLABORADOR]],IF(D179&lt;TODAY(),"VENCIDO",IF(D179=TODAY(),"ULTIMO DIA DE CONTRATO",)))))))),"")</f>
        <v/>
      </c>
    </row>
    <row r="180" spans="1:11" x14ac:dyDescent="0.25">
      <c r="A180" s="4"/>
      <c r="B180" s="4"/>
      <c r="C180" s="5"/>
      <c r="D180" s="6"/>
      <c r="E180" s="4"/>
      <c r="F180" s="4"/>
      <c r="G180" s="5"/>
      <c r="H180" s="19" t="str">
        <f>IF(Tabela2[[#This Row],[REALIZAÇÃO DO ASO]]="","",Tabela2[[#This Row],[REALIZAÇÃO DO ASO]]+365)</f>
        <v/>
      </c>
      <c r="I18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COLABORADOR]]="AFASTADO","AFASTADO",IF(D180&gt;TODAY(),_xlfn.DAYS(D180,TODAY())&amp;" Dia(s) Restante do "&amp;Tabela2[[#This Row],[STATUS COLABORADOR]],IF(D180&lt;TODAY(),"VENCIDO",IF(D180=TODAY(),"ULTIMO DIA DE CONTRATO",)))))))),"")</f>
        <v/>
      </c>
    </row>
    <row r="181" spans="1:11" x14ac:dyDescent="0.25">
      <c r="A181" s="4"/>
      <c r="B181" s="4"/>
      <c r="C181" s="5"/>
      <c r="D181" s="6"/>
      <c r="E181" s="4"/>
      <c r="F181" s="4"/>
      <c r="G181" s="5"/>
      <c r="H181" s="19" t="str">
        <f>IF(Tabela2[[#This Row],[REALIZAÇÃO DO ASO]]="","",Tabela2[[#This Row],[REALIZAÇÃO DO ASO]]+365)</f>
        <v/>
      </c>
      <c r="I18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COLABORADOR]]="AFASTADO","AFASTADO",IF(D181&gt;TODAY(),_xlfn.DAYS(D181,TODAY())&amp;" Dia(s) Restante do "&amp;Tabela2[[#This Row],[STATUS COLABORADOR]],IF(D181&lt;TODAY(),"VENCIDO",IF(D181=TODAY(),"ULTIMO DIA DE CONTRATO",)))))))),"")</f>
        <v/>
      </c>
    </row>
    <row r="182" spans="1:11" x14ac:dyDescent="0.25">
      <c r="A182" s="4"/>
      <c r="B182" s="4"/>
      <c r="C182" s="5"/>
      <c r="D182" s="6"/>
      <c r="E182" s="4"/>
      <c r="F182" s="4"/>
      <c r="G182" s="5"/>
      <c r="H182" s="19" t="str">
        <f>IF(Tabela2[[#This Row],[REALIZAÇÃO DO ASO]]="","",Tabela2[[#This Row],[REALIZAÇÃO DO ASO]]+365)</f>
        <v/>
      </c>
      <c r="I18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COLABORADOR]]="AFASTADO","AFASTADO",IF(D182&gt;TODAY(),_xlfn.DAYS(D182,TODAY())&amp;" Dia(s) Restante do "&amp;Tabela2[[#This Row],[STATUS COLABORADOR]],IF(D182&lt;TODAY(),"VENCIDO",IF(D182=TODAY(),"ULTIMO DIA DE CONTRATO",)))))))),"")</f>
        <v/>
      </c>
    </row>
    <row r="183" spans="1:11" x14ac:dyDescent="0.25">
      <c r="A183" s="4"/>
      <c r="B183" s="4"/>
      <c r="C183" s="5"/>
      <c r="D183" s="6"/>
      <c r="E183" s="4"/>
      <c r="F183" s="4"/>
      <c r="G183" s="5"/>
      <c r="H183" s="19" t="str">
        <f>IF(Tabela2[[#This Row],[REALIZAÇÃO DO ASO]]="","",Tabela2[[#This Row],[REALIZAÇÃO DO ASO]]+365)</f>
        <v/>
      </c>
      <c r="I18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COLABORADOR]]="AFASTADO","AFASTADO",IF(D183&gt;TODAY(),_xlfn.DAYS(D183,TODAY())&amp;" Dia(s) Restante do "&amp;Tabela2[[#This Row],[STATUS COLABORADOR]],IF(D183&lt;TODAY(),"VENCIDO",IF(D183=TODAY(),"ULTIMO DIA DE CONTRATO",)))))))),"")</f>
        <v/>
      </c>
    </row>
    <row r="184" spans="1:11" x14ac:dyDescent="0.25">
      <c r="A184" s="4"/>
      <c r="B184" s="4"/>
      <c r="C184" s="5"/>
      <c r="D184" s="6"/>
      <c r="E184" s="4"/>
      <c r="F184" s="4"/>
      <c r="G184" s="5"/>
      <c r="H184" s="19" t="str">
        <f>IF(Tabela2[[#This Row],[REALIZAÇÃO DO ASO]]="","",Tabela2[[#This Row],[REALIZAÇÃO DO ASO]]+365)</f>
        <v/>
      </c>
      <c r="I18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COLABORADOR]]="AFASTADO","AFASTADO",IF(D184&gt;TODAY(),_xlfn.DAYS(D184,TODAY())&amp;" Dia(s) Restante do "&amp;Tabela2[[#This Row],[STATUS COLABORADOR]],IF(D184&lt;TODAY(),"VENCIDO",IF(D184=TODAY(),"ULTIMO DIA DE CONTRATO",)))))))),"")</f>
        <v/>
      </c>
    </row>
    <row r="185" spans="1:11" x14ac:dyDescent="0.25">
      <c r="A185" s="4"/>
      <c r="B185" s="4"/>
      <c r="C185" s="5"/>
      <c r="D185" s="6"/>
      <c r="E185" s="4"/>
      <c r="F185" s="4"/>
      <c r="G185" s="5"/>
      <c r="H185" s="19" t="str">
        <f>IF(Tabela2[[#This Row],[REALIZAÇÃO DO ASO]]="","",Tabela2[[#This Row],[REALIZAÇÃO DO ASO]]+365)</f>
        <v/>
      </c>
      <c r="I18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COLABORADOR]]="AFASTADO","AFASTADO",IF(D185&gt;TODAY(),_xlfn.DAYS(D185,TODAY())&amp;" Dia(s) Restante do "&amp;Tabela2[[#This Row],[STATUS COLABORADOR]],IF(D185&lt;TODAY(),"VENCIDO",IF(D185=TODAY(),"ULTIMO DIA DE CONTRATO",)))))))),"")</f>
        <v/>
      </c>
    </row>
    <row r="186" spans="1:11" x14ac:dyDescent="0.25">
      <c r="A186" s="4"/>
      <c r="B186" s="4"/>
      <c r="C186" s="5"/>
      <c r="D186" s="6"/>
      <c r="E186" s="4"/>
      <c r="F186" s="4"/>
      <c r="G186" s="5"/>
      <c r="H186" s="19" t="str">
        <f>IF(Tabela2[[#This Row],[REALIZAÇÃO DO ASO]]="","",Tabela2[[#This Row],[REALIZAÇÃO DO ASO]]+365)</f>
        <v/>
      </c>
      <c r="I18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COLABORADOR]]="AFASTADO","AFASTADO",IF(D186&gt;TODAY(),_xlfn.DAYS(D186,TODAY())&amp;" Dia(s) Restante do "&amp;Tabela2[[#This Row],[STATUS COLABORADOR]],IF(D186&lt;TODAY(),"VENCIDO",IF(D186=TODAY(),"ULTIMO DIA DE CONTRATO",)))))))),"")</f>
        <v/>
      </c>
    </row>
    <row r="187" spans="1:11" x14ac:dyDescent="0.25">
      <c r="A187" s="4"/>
      <c r="B187" s="4"/>
      <c r="C187" s="5"/>
      <c r="D187" s="6"/>
      <c r="E187" s="4"/>
      <c r="F187" s="4"/>
      <c r="G187" s="5"/>
      <c r="H187" s="19" t="str">
        <f>IF(Tabela2[[#This Row],[REALIZAÇÃO DO ASO]]="","",Tabela2[[#This Row],[REALIZAÇÃO DO ASO]]+365)</f>
        <v/>
      </c>
      <c r="I18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COLABORADOR]]="AFASTADO","AFASTADO",IF(D187&gt;TODAY(),_xlfn.DAYS(D187,TODAY())&amp;" Dia(s) Restante do "&amp;Tabela2[[#This Row],[STATUS COLABORADOR]],IF(D187&lt;TODAY(),"VENCIDO",IF(D187=TODAY(),"ULTIMO DIA DE CONTRATO",)))))))),"")</f>
        <v/>
      </c>
    </row>
    <row r="188" spans="1:11" x14ac:dyDescent="0.25">
      <c r="A188" s="4"/>
      <c r="B188" s="4"/>
      <c r="C188" s="5"/>
      <c r="D188" s="6"/>
      <c r="E188" s="4"/>
      <c r="F188" s="4"/>
      <c r="G188" s="5"/>
      <c r="H188" s="19" t="str">
        <f>IF(Tabela2[[#This Row],[REALIZAÇÃO DO ASO]]="","",Tabela2[[#This Row],[REALIZAÇÃO DO ASO]]+365)</f>
        <v/>
      </c>
      <c r="I18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COLABORADOR]]="AFASTADO","AFASTADO",IF(D188&gt;TODAY(),_xlfn.DAYS(D188,TODAY())&amp;" Dia(s) Restante do "&amp;Tabela2[[#This Row],[STATUS COLABORADOR]],IF(D188&lt;TODAY(),"VENCIDO",IF(D188=TODAY(),"ULTIMO DIA DE CONTRATO",)))))))),"")</f>
        <v/>
      </c>
    </row>
    <row r="189" spans="1:11" x14ac:dyDescent="0.25">
      <c r="A189" s="4"/>
      <c r="B189" s="4"/>
      <c r="C189" s="5"/>
      <c r="D189" s="6"/>
      <c r="E189" s="4"/>
      <c r="F189" s="4"/>
      <c r="G189" s="5"/>
      <c r="H189" s="19" t="str">
        <f>IF(Tabela2[[#This Row],[REALIZAÇÃO DO ASO]]="","",Tabela2[[#This Row],[REALIZAÇÃO DO ASO]]+365)</f>
        <v/>
      </c>
      <c r="I18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8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8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COLABORADOR]]="AFASTADO","AFASTADO",IF(D189&gt;TODAY(),_xlfn.DAYS(D189,TODAY())&amp;" Dia(s) Restante do "&amp;Tabela2[[#This Row],[STATUS COLABORADOR]],IF(D189&lt;TODAY(),"VENCIDO",IF(D189=TODAY(),"ULTIMO DIA DE CONTRATO",)))))))),"")</f>
        <v/>
      </c>
    </row>
    <row r="190" spans="1:11" x14ac:dyDescent="0.25">
      <c r="A190" s="4"/>
      <c r="B190" s="4"/>
      <c r="C190" s="5"/>
      <c r="D190" s="6"/>
      <c r="E190" s="4"/>
      <c r="F190" s="4"/>
      <c r="G190" s="5"/>
      <c r="H190" s="19" t="str">
        <f>IF(Tabela2[[#This Row],[REALIZAÇÃO DO ASO]]="","",Tabela2[[#This Row],[REALIZAÇÃO DO ASO]]+365)</f>
        <v/>
      </c>
      <c r="I19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COLABORADOR]]="AFASTADO","AFASTADO",IF(D190&gt;TODAY(),_xlfn.DAYS(D190,TODAY())&amp;" Dia(s) Restante do "&amp;Tabela2[[#This Row],[STATUS COLABORADOR]],IF(D190&lt;TODAY(),"VENCIDO",IF(D190=TODAY(),"ULTIMO DIA DE CONTRATO",)))))))),"")</f>
        <v/>
      </c>
    </row>
    <row r="191" spans="1:11" x14ac:dyDescent="0.25">
      <c r="A191" s="4"/>
      <c r="B191" s="4"/>
      <c r="C191" s="5"/>
      <c r="D191" s="6"/>
      <c r="E191" s="4"/>
      <c r="F191" s="4"/>
      <c r="G191" s="5"/>
      <c r="H191" s="19" t="str">
        <f>IF(Tabela2[[#This Row],[REALIZAÇÃO DO ASO]]="","",Tabela2[[#This Row],[REALIZAÇÃO DO ASO]]+365)</f>
        <v/>
      </c>
      <c r="I19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COLABORADOR]]="AFASTADO","AFASTADO",IF(D191&gt;TODAY(),_xlfn.DAYS(D191,TODAY())&amp;" Dia(s) Restante do "&amp;Tabela2[[#This Row],[STATUS COLABORADOR]],IF(D191&lt;TODAY(),"VENCIDO",IF(D191=TODAY(),"ULTIMO DIA DE CONTRATO",)))))))),"")</f>
        <v/>
      </c>
    </row>
    <row r="192" spans="1:11" x14ac:dyDescent="0.25">
      <c r="A192" s="4"/>
      <c r="B192" s="4"/>
      <c r="C192" s="5"/>
      <c r="D192" s="6"/>
      <c r="E192" s="4"/>
      <c r="F192" s="4"/>
      <c r="G192" s="5"/>
      <c r="H192" s="19" t="str">
        <f>IF(Tabela2[[#This Row],[REALIZAÇÃO DO ASO]]="","",Tabela2[[#This Row],[REALIZAÇÃO DO ASO]]+365)</f>
        <v/>
      </c>
      <c r="I19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COLABORADOR]]="AFASTADO","AFASTADO",IF(D192&gt;TODAY(),_xlfn.DAYS(D192,TODAY())&amp;" Dia(s) Restante do "&amp;Tabela2[[#This Row],[STATUS COLABORADOR]],IF(D192&lt;TODAY(),"VENCIDO",IF(D192=TODAY(),"ULTIMO DIA DE CONTRATO",)))))))),"")</f>
        <v/>
      </c>
    </row>
    <row r="193" spans="1:11" x14ac:dyDescent="0.25">
      <c r="A193" s="4"/>
      <c r="B193" s="4"/>
      <c r="C193" s="5"/>
      <c r="D193" s="6"/>
      <c r="E193" s="4"/>
      <c r="F193" s="4"/>
      <c r="G193" s="5"/>
      <c r="H193" s="19" t="str">
        <f>IF(Tabela2[[#This Row],[REALIZAÇÃO DO ASO]]="","",Tabela2[[#This Row],[REALIZAÇÃO DO ASO]]+365)</f>
        <v/>
      </c>
      <c r="I19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COLABORADOR]]="AFASTADO","AFASTADO",IF(D193&gt;TODAY(),_xlfn.DAYS(D193,TODAY())&amp;" Dia(s) Restante do "&amp;Tabela2[[#This Row],[STATUS COLABORADOR]],IF(D193&lt;TODAY(),"VENCIDO",IF(D193=TODAY(),"ULTIMO DIA DE CONTRATO",)))))))),"")</f>
        <v/>
      </c>
    </row>
    <row r="194" spans="1:11" x14ac:dyDescent="0.25">
      <c r="A194" s="4"/>
      <c r="B194" s="4"/>
      <c r="C194" s="5"/>
      <c r="D194" s="6"/>
      <c r="E194" s="4"/>
      <c r="F194" s="4"/>
      <c r="G194" s="5"/>
      <c r="H194" s="19" t="str">
        <f>IF(Tabela2[[#This Row],[REALIZAÇÃO DO ASO]]="","",Tabela2[[#This Row],[REALIZAÇÃO DO ASO]]+365)</f>
        <v/>
      </c>
      <c r="I19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COLABORADOR]]="AFASTADO","AFASTADO",IF(D194&gt;TODAY(),_xlfn.DAYS(D194,TODAY())&amp;" Dia(s) Restante do "&amp;Tabela2[[#This Row],[STATUS COLABORADOR]],IF(D194&lt;TODAY(),"VENCIDO",IF(D194=TODAY(),"ULTIMO DIA DE CONTRATO",)))))))),"")</f>
        <v/>
      </c>
    </row>
    <row r="195" spans="1:11" x14ac:dyDescent="0.25">
      <c r="A195" s="4"/>
      <c r="B195" s="4"/>
      <c r="C195" s="5"/>
      <c r="D195" s="6"/>
      <c r="E195" s="4"/>
      <c r="F195" s="4"/>
      <c r="G195" s="5"/>
      <c r="H195" s="19" t="str">
        <f>IF(Tabela2[[#This Row],[REALIZAÇÃO DO ASO]]="","",Tabela2[[#This Row],[REALIZAÇÃO DO ASO]]+365)</f>
        <v/>
      </c>
      <c r="I19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COLABORADOR]]="AFASTADO","AFASTADO",IF(D195&gt;TODAY(),_xlfn.DAYS(D195,TODAY())&amp;" Dia(s) Restante do "&amp;Tabela2[[#This Row],[STATUS COLABORADOR]],IF(D195&lt;TODAY(),"VENCIDO",IF(D195=TODAY(),"ULTIMO DIA DE CONTRATO",)))))))),"")</f>
        <v/>
      </c>
    </row>
    <row r="196" spans="1:11" x14ac:dyDescent="0.25">
      <c r="A196" s="4"/>
      <c r="B196" s="4"/>
      <c r="C196" s="5"/>
      <c r="D196" s="6"/>
      <c r="E196" s="4"/>
      <c r="F196" s="4"/>
      <c r="G196" s="5"/>
      <c r="H196" s="19" t="str">
        <f>IF(Tabela2[[#This Row],[REALIZAÇÃO DO ASO]]="","",Tabela2[[#This Row],[REALIZAÇÃO DO ASO]]+365)</f>
        <v/>
      </c>
      <c r="I19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COLABORADOR]]="AFASTADO","AFASTADO",IF(D196&gt;TODAY(),_xlfn.DAYS(D196,TODAY())&amp;" Dia(s) Restante do "&amp;Tabela2[[#This Row],[STATUS COLABORADOR]],IF(D196&lt;TODAY(),"VENCIDO",IF(D196=TODAY(),"ULTIMO DIA DE CONTRATO",)))))))),"")</f>
        <v/>
      </c>
    </row>
    <row r="197" spans="1:11" x14ac:dyDescent="0.25">
      <c r="A197" s="4"/>
      <c r="B197" s="4"/>
      <c r="C197" s="5"/>
      <c r="D197" s="6"/>
      <c r="E197" s="4"/>
      <c r="F197" s="4"/>
      <c r="G197" s="5"/>
      <c r="H197" s="19" t="str">
        <f>IF(Tabela2[[#This Row],[REALIZAÇÃO DO ASO]]="","",Tabela2[[#This Row],[REALIZAÇÃO DO ASO]]+365)</f>
        <v/>
      </c>
      <c r="I19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COLABORADOR]]="AFASTADO","AFASTADO",IF(D197&gt;TODAY(),_xlfn.DAYS(D197,TODAY())&amp;" Dia(s) Restante do "&amp;Tabela2[[#This Row],[STATUS COLABORADOR]],IF(D197&lt;TODAY(),"VENCIDO",IF(D197=TODAY(),"ULTIMO DIA DE CONTRATO",)))))))),"")</f>
        <v/>
      </c>
    </row>
    <row r="198" spans="1:11" x14ac:dyDescent="0.25">
      <c r="A198" s="4"/>
      <c r="B198" s="4"/>
      <c r="C198" s="5"/>
      <c r="D198" s="6"/>
      <c r="E198" s="4"/>
      <c r="F198" s="4"/>
      <c r="G198" s="5"/>
      <c r="H198" s="19" t="str">
        <f>IF(Tabela2[[#This Row],[REALIZAÇÃO DO ASO]]="","",Tabela2[[#This Row],[REALIZAÇÃO DO ASO]]+365)</f>
        <v/>
      </c>
      <c r="I19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COLABORADOR]]="AFASTADO","AFASTADO",IF(D198&gt;TODAY(),_xlfn.DAYS(D198,TODAY())&amp;" Dia(s) Restante do "&amp;Tabela2[[#This Row],[STATUS COLABORADOR]],IF(D198&lt;TODAY(),"VENCIDO",IF(D198=TODAY(),"ULTIMO DIA DE CONTRATO",)))))))),"")</f>
        <v/>
      </c>
    </row>
    <row r="199" spans="1:11" x14ac:dyDescent="0.25">
      <c r="A199" s="4"/>
      <c r="B199" s="4"/>
      <c r="C199" s="5"/>
      <c r="D199" s="6"/>
      <c r="E199" s="4"/>
      <c r="F199" s="4"/>
      <c r="G199" s="5"/>
      <c r="H199" s="19" t="str">
        <f>IF(Tabela2[[#This Row],[REALIZAÇÃO DO ASO]]="","",Tabela2[[#This Row],[REALIZAÇÃO DO ASO]]+365)</f>
        <v/>
      </c>
      <c r="I19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19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19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COLABORADOR]]="AFASTADO","AFASTADO",IF(D199&gt;TODAY(),_xlfn.DAYS(D199,TODAY())&amp;" Dia(s) Restante do "&amp;Tabela2[[#This Row],[STATUS COLABORADOR]],IF(D199&lt;TODAY(),"VENCIDO",IF(D199=TODAY(),"ULTIMO DIA DE CONTRATO",)))))))),"")</f>
        <v/>
      </c>
    </row>
    <row r="200" spans="1:11" x14ac:dyDescent="0.25">
      <c r="A200" s="4"/>
      <c r="B200" s="4"/>
      <c r="C200" s="5"/>
      <c r="D200" s="6"/>
      <c r="E200" s="4"/>
      <c r="F200" s="4"/>
      <c r="G200" s="5"/>
      <c r="H200" s="19" t="str">
        <f>IF(Tabela2[[#This Row],[REALIZAÇÃO DO ASO]]="","",Tabela2[[#This Row],[REALIZAÇÃO DO ASO]]+365)</f>
        <v/>
      </c>
      <c r="I20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COLABORADOR]]="AFASTADO","AFASTADO",IF(D200&gt;TODAY(),_xlfn.DAYS(D200,TODAY())&amp;" Dia(s) Restante do "&amp;Tabela2[[#This Row],[STATUS COLABORADOR]],IF(D200&lt;TODAY(),"VENCIDO",IF(D200=TODAY(),"ULTIMO DIA DE CONTRATO",)))))))),"")</f>
        <v/>
      </c>
    </row>
    <row r="201" spans="1:11" x14ac:dyDescent="0.25">
      <c r="A201" s="4"/>
      <c r="B201" s="4"/>
      <c r="C201" s="5"/>
      <c r="D201" s="6"/>
      <c r="E201" s="4"/>
      <c r="F201" s="4"/>
      <c r="G201" s="5"/>
      <c r="H201" s="19" t="str">
        <f>IF(Tabela2[[#This Row],[REALIZAÇÃO DO ASO]]="","",Tabela2[[#This Row],[REALIZAÇÃO DO ASO]]+365)</f>
        <v/>
      </c>
      <c r="I20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COLABORADOR]]="AFASTADO","AFASTADO",IF(D201&gt;TODAY(),_xlfn.DAYS(D201,TODAY())&amp;" Dia(s) Restante do "&amp;Tabela2[[#This Row],[STATUS COLABORADOR]],IF(D201&lt;TODAY(),"VENCIDO",IF(D201=TODAY(),"ULTIMO DIA DE CONTRATO",)))))))),"")</f>
        <v/>
      </c>
    </row>
    <row r="202" spans="1:11" x14ac:dyDescent="0.25">
      <c r="A202" s="4"/>
      <c r="B202" s="4"/>
      <c r="C202" s="5"/>
      <c r="D202" s="6"/>
      <c r="E202" s="4"/>
      <c r="F202" s="4"/>
      <c r="G202" s="5"/>
      <c r="H202" s="19" t="str">
        <f>IF(Tabela2[[#This Row],[REALIZAÇÃO DO ASO]]="","",Tabela2[[#This Row],[REALIZAÇÃO DO ASO]]+365)</f>
        <v/>
      </c>
      <c r="I20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COLABORADOR]]="AFASTADO","AFASTADO",IF(D202&gt;TODAY(),_xlfn.DAYS(D202,TODAY())&amp;" Dia(s) Restante do "&amp;Tabela2[[#This Row],[STATUS COLABORADOR]],IF(D202&lt;TODAY(),"VENCIDO",IF(D202=TODAY(),"ULTIMO DIA DE CONTRATO",)))))))),"")</f>
        <v/>
      </c>
    </row>
    <row r="203" spans="1:11" x14ac:dyDescent="0.25">
      <c r="A203" s="4"/>
      <c r="B203" s="4"/>
      <c r="C203" s="5"/>
      <c r="D203" s="6"/>
      <c r="E203" s="4"/>
      <c r="F203" s="4"/>
      <c r="G203" s="5"/>
      <c r="H203" s="19" t="str">
        <f>IF(Tabela2[[#This Row],[REALIZAÇÃO DO ASO]]="","",Tabela2[[#This Row],[REALIZAÇÃO DO ASO]]+365)</f>
        <v/>
      </c>
      <c r="I20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COLABORADOR]]="AFASTADO","AFASTADO",IF(D203&gt;TODAY(),_xlfn.DAYS(D203,TODAY())&amp;" Dia(s) Restante do "&amp;Tabela2[[#This Row],[STATUS COLABORADOR]],IF(D203&lt;TODAY(),"VENCIDO",IF(D203=TODAY(),"ULTIMO DIA DE CONTRATO",)))))))),"")</f>
        <v/>
      </c>
    </row>
    <row r="204" spans="1:11" x14ac:dyDescent="0.25">
      <c r="A204" s="4"/>
      <c r="B204" s="4"/>
      <c r="C204" s="5"/>
      <c r="D204" s="6"/>
      <c r="E204" s="4"/>
      <c r="F204" s="4"/>
      <c r="G204" s="5"/>
      <c r="H204" s="19" t="str">
        <f>IF(Tabela2[[#This Row],[REALIZAÇÃO DO ASO]]="","",Tabela2[[#This Row],[REALIZAÇÃO DO ASO]]+365)</f>
        <v/>
      </c>
      <c r="I20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COLABORADOR]]="AFASTADO","AFASTADO",IF(D204&gt;TODAY(),_xlfn.DAYS(D204,TODAY())&amp;" Dia(s) Restante do "&amp;Tabela2[[#This Row],[STATUS COLABORADOR]],IF(D204&lt;TODAY(),"VENCIDO",IF(D204=TODAY(),"ULTIMO DIA DE CONTRATO",)))))))),"")</f>
        <v/>
      </c>
    </row>
    <row r="205" spans="1:11" x14ac:dyDescent="0.25">
      <c r="A205" s="4"/>
      <c r="B205" s="4"/>
      <c r="C205" s="5"/>
      <c r="D205" s="6"/>
      <c r="E205" s="4"/>
      <c r="F205" s="4"/>
      <c r="G205" s="5"/>
      <c r="H205" s="19" t="str">
        <f>IF(Tabela2[[#This Row],[REALIZAÇÃO DO ASO]]="","",Tabela2[[#This Row],[REALIZAÇÃO DO ASO]]+365)</f>
        <v/>
      </c>
      <c r="I20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COLABORADOR]]="AFASTADO","AFASTADO",IF(D205&gt;TODAY(),_xlfn.DAYS(D205,TODAY())&amp;" Dia(s) Restante do "&amp;Tabela2[[#This Row],[STATUS COLABORADOR]],IF(D205&lt;TODAY(),"VENCIDO",IF(D205=TODAY(),"ULTIMO DIA DE CONTRATO",)))))))),"")</f>
        <v/>
      </c>
    </row>
    <row r="206" spans="1:11" x14ac:dyDescent="0.25">
      <c r="A206" s="4"/>
      <c r="B206" s="4"/>
      <c r="C206" s="5"/>
      <c r="D206" s="6"/>
      <c r="E206" s="4"/>
      <c r="F206" s="4"/>
      <c r="G206" s="5"/>
      <c r="H206" s="19" t="str">
        <f>IF(Tabela2[[#This Row],[REALIZAÇÃO DO ASO]]="","",Tabela2[[#This Row],[REALIZAÇÃO DO ASO]]+365)</f>
        <v/>
      </c>
      <c r="I20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COLABORADOR]]="AFASTADO","AFASTADO",IF(D206&gt;TODAY(),_xlfn.DAYS(D206,TODAY())&amp;" Dia(s) Restante do "&amp;Tabela2[[#This Row],[STATUS COLABORADOR]],IF(D206&lt;TODAY(),"VENCIDO",IF(D206=TODAY(),"ULTIMO DIA DE CONTRATO",)))))))),"")</f>
        <v/>
      </c>
    </row>
    <row r="207" spans="1:11" x14ac:dyDescent="0.25">
      <c r="A207" s="4"/>
      <c r="B207" s="4"/>
      <c r="C207" s="5"/>
      <c r="D207" s="6"/>
      <c r="E207" s="4"/>
      <c r="F207" s="4"/>
      <c r="G207" s="5"/>
      <c r="H207" s="19" t="str">
        <f>IF(Tabela2[[#This Row],[REALIZAÇÃO DO ASO]]="","",Tabela2[[#This Row],[REALIZAÇÃO DO ASO]]+365)</f>
        <v/>
      </c>
      <c r="I20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COLABORADOR]]="AFASTADO","AFASTADO",IF(D207&gt;TODAY(),_xlfn.DAYS(D207,TODAY())&amp;" Dia(s) Restante do "&amp;Tabela2[[#This Row],[STATUS COLABORADOR]],IF(D207&lt;TODAY(),"VENCIDO",IF(D207=TODAY(),"ULTIMO DIA DE CONTRATO",)))))))),"")</f>
        <v/>
      </c>
    </row>
    <row r="208" spans="1:11" x14ac:dyDescent="0.25">
      <c r="A208" s="4"/>
      <c r="B208" s="4"/>
      <c r="C208" s="5"/>
      <c r="D208" s="6"/>
      <c r="E208" s="4"/>
      <c r="F208" s="4"/>
      <c r="G208" s="5"/>
      <c r="H208" s="19" t="str">
        <f>IF(Tabela2[[#This Row],[REALIZAÇÃO DO ASO]]="","",Tabela2[[#This Row],[REALIZAÇÃO DO ASO]]+365)</f>
        <v/>
      </c>
      <c r="I20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COLABORADOR]]="AFASTADO","AFASTADO",IF(D208&gt;TODAY(),_xlfn.DAYS(D208,TODAY())&amp;" Dia(s) Restante do "&amp;Tabela2[[#This Row],[STATUS COLABORADOR]],IF(D208&lt;TODAY(),"VENCIDO",IF(D208=TODAY(),"ULTIMO DIA DE CONTRATO",)))))))),"")</f>
        <v/>
      </c>
    </row>
    <row r="209" spans="1:11" x14ac:dyDescent="0.25">
      <c r="A209" s="4"/>
      <c r="B209" s="4"/>
      <c r="C209" s="5"/>
      <c r="D209" s="6"/>
      <c r="E209" s="4"/>
      <c r="F209" s="4"/>
      <c r="G209" s="5"/>
      <c r="H209" s="19" t="str">
        <f>IF(Tabela2[[#This Row],[REALIZAÇÃO DO ASO]]="","",Tabela2[[#This Row],[REALIZAÇÃO DO ASO]]+365)</f>
        <v/>
      </c>
      <c r="I20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0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0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COLABORADOR]]="AFASTADO","AFASTADO",IF(D209&gt;TODAY(),_xlfn.DAYS(D209,TODAY())&amp;" Dia(s) Restante do "&amp;Tabela2[[#This Row],[STATUS COLABORADOR]],IF(D209&lt;TODAY(),"VENCIDO",IF(D209=TODAY(),"ULTIMO DIA DE CONTRATO",)))))))),"")</f>
        <v/>
      </c>
    </row>
    <row r="210" spans="1:11" x14ac:dyDescent="0.25">
      <c r="A210" s="4"/>
      <c r="B210" s="4"/>
      <c r="C210" s="5"/>
      <c r="D210" s="6"/>
      <c r="E210" s="4"/>
      <c r="F210" s="4"/>
      <c r="G210" s="5"/>
      <c r="H210" s="19" t="str">
        <f>IF(Tabela2[[#This Row],[REALIZAÇÃO DO ASO]]="","",Tabela2[[#This Row],[REALIZAÇÃO DO ASO]]+365)</f>
        <v/>
      </c>
      <c r="I2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COLABORADOR]]="AFASTADO","AFASTADO",IF(D210&gt;TODAY(),_xlfn.DAYS(D210,TODAY())&amp;" Dia(s) Restante do "&amp;Tabela2[[#This Row],[STATUS COLABORADOR]],IF(D210&lt;TODAY(),"VENCIDO",IF(D210=TODAY(),"ULTIMO DIA DE CONTRATO",)))))))),"")</f>
        <v/>
      </c>
    </row>
    <row r="211" spans="1:11" x14ac:dyDescent="0.25">
      <c r="A211" s="4"/>
      <c r="B211" s="4"/>
      <c r="C211" s="5"/>
      <c r="D211" s="6"/>
      <c r="E211" s="4"/>
      <c r="F211" s="4"/>
      <c r="G211" s="5"/>
      <c r="H211" s="19" t="str">
        <f>IF(Tabela2[[#This Row],[REALIZAÇÃO DO ASO]]="","",Tabela2[[#This Row],[REALIZAÇÃO DO ASO]]+365)</f>
        <v/>
      </c>
      <c r="I21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COLABORADOR]]="AFASTADO","AFASTADO",IF(D211&gt;TODAY(),_xlfn.DAYS(D211,TODAY())&amp;" Dia(s) Restante do "&amp;Tabela2[[#This Row],[STATUS COLABORADOR]],IF(D211&lt;TODAY(),"VENCIDO",IF(D211=TODAY(),"ULTIMO DIA DE CONTRATO",)))))))),"")</f>
        <v/>
      </c>
    </row>
    <row r="212" spans="1:11" x14ac:dyDescent="0.25">
      <c r="A212" s="4"/>
      <c r="B212" s="4"/>
      <c r="C212" s="5"/>
      <c r="D212" s="6"/>
      <c r="E212" s="4"/>
      <c r="F212" s="4"/>
      <c r="G212" s="5"/>
      <c r="H212" s="19" t="str">
        <f>IF(Tabela2[[#This Row],[REALIZAÇÃO DO ASO]]="","",Tabela2[[#This Row],[REALIZAÇÃO DO ASO]]+365)</f>
        <v/>
      </c>
      <c r="I21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COLABORADOR]]="AFASTADO","AFASTADO",IF(D212&gt;TODAY(),_xlfn.DAYS(D212,TODAY())&amp;" Dia(s) Restante do "&amp;Tabela2[[#This Row],[STATUS COLABORADOR]],IF(D212&lt;TODAY(),"VENCIDO",IF(D212=TODAY(),"ULTIMO DIA DE CONTRATO",)))))))),"")</f>
        <v/>
      </c>
    </row>
    <row r="213" spans="1:11" x14ac:dyDescent="0.25">
      <c r="A213" s="4"/>
      <c r="B213" s="4"/>
      <c r="C213" s="5"/>
      <c r="D213" s="6"/>
      <c r="E213" s="4"/>
      <c r="F213" s="4"/>
      <c r="G213" s="5"/>
      <c r="H213" s="19" t="str">
        <f>IF(Tabela2[[#This Row],[REALIZAÇÃO DO ASO]]="","",Tabela2[[#This Row],[REALIZAÇÃO DO ASO]]+365)</f>
        <v/>
      </c>
      <c r="I21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COLABORADOR]]="AFASTADO","AFASTADO",IF(D213&gt;TODAY(),_xlfn.DAYS(D213,TODAY())&amp;" Dia(s) Restante do "&amp;Tabela2[[#This Row],[STATUS COLABORADOR]],IF(D213&lt;TODAY(),"VENCIDO",IF(D213=TODAY(),"ULTIMO DIA DE CONTRATO",)))))))),"")</f>
        <v/>
      </c>
    </row>
    <row r="214" spans="1:11" x14ac:dyDescent="0.25">
      <c r="A214" s="4"/>
      <c r="B214" s="4"/>
      <c r="C214" s="5"/>
      <c r="D214" s="6"/>
      <c r="E214" s="4"/>
      <c r="F214" s="4"/>
      <c r="G214" s="5"/>
      <c r="H214" s="19" t="str">
        <f>IF(Tabela2[[#This Row],[REALIZAÇÃO DO ASO]]="","",Tabela2[[#This Row],[REALIZAÇÃO DO ASO]]+365)</f>
        <v/>
      </c>
      <c r="I21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COLABORADOR]]="AFASTADO","AFASTADO",IF(D214&gt;TODAY(),_xlfn.DAYS(D214,TODAY())&amp;" Dia(s) Restante do "&amp;Tabela2[[#This Row],[STATUS COLABORADOR]],IF(D214&lt;TODAY(),"VENCIDO",IF(D214=TODAY(),"ULTIMO DIA DE CONTRATO",)))))))),"")</f>
        <v/>
      </c>
    </row>
    <row r="215" spans="1:11" x14ac:dyDescent="0.25">
      <c r="A215" s="4"/>
      <c r="B215" s="4"/>
      <c r="C215" s="5"/>
      <c r="D215" s="6"/>
      <c r="E215" s="4"/>
      <c r="F215" s="4"/>
      <c r="G215" s="5"/>
      <c r="H215" s="19" t="str">
        <f>IF(Tabela2[[#This Row],[REALIZAÇÃO DO ASO]]="","",Tabela2[[#This Row],[REALIZAÇÃO DO ASO]]+365)</f>
        <v/>
      </c>
      <c r="I21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COLABORADOR]]="AFASTADO","AFASTADO",IF(D215&gt;TODAY(),_xlfn.DAYS(D215,TODAY())&amp;" Dia(s) Restante do "&amp;Tabela2[[#This Row],[STATUS COLABORADOR]],IF(D215&lt;TODAY(),"VENCIDO",IF(D215=TODAY(),"ULTIMO DIA DE CONTRATO",)))))))),"")</f>
        <v/>
      </c>
    </row>
    <row r="216" spans="1:11" x14ac:dyDescent="0.25">
      <c r="A216" s="4"/>
      <c r="B216" s="4"/>
      <c r="C216" s="5"/>
      <c r="D216" s="6"/>
      <c r="E216" s="4"/>
      <c r="F216" s="4"/>
      <c r="G216" s="5"/>
      <c r="H216" s="19" t="str">
        <f>IF(Tabela2[[#This Row],[REALIZAÇÃO DO ASO]]="","",Tabela2[[#This Row],[REALIZAÇÃO DO ASO]]+365)</f>
        <v/>
      </c>
      <c r="I21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COLABORADOR]]="AFASTADO","AFASTADO",IF(D216&gt;TODAY(),_xlfn.DAYS(D216,TODAY())&amp;" Dia(s) Restante do "&amp;Tabela2[[#This Row],[STATUS COLABORADOR]],IF(D216&lt;TODAY(),"VENCIDO",IF(D216=TODAY(),"ULTIMO DIA DE CONTRATO",)))))))),"")</f>
        <v/>
      </c>
    </row>
    <row r="217" spans="1:11" x14ac:dyDescent="0.25">
      <c r="A217" s="4"/>
      <c r="B217" s="4"/>
      <c r="C217" s="5"/>
      <c r="D217" s="6"/>
      <c r="E217" s="4"/>
      <c r="F217" s="4"/>
      <c r="G217" s="5"/>
      <c r="H217" s="19" t="str">
        <f>IF(Tabela2[[#This Row],[REALIZAÇÃO DO ASO]]="","",Tabela2[[#This Row],[REALIZAÇÃO DO ASO]]+365)</f>
        <v/>
      </c>
      <c r="I21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COLABORADOR]]="AFASTADO","AFASTADO",IF(D217&gt;TODAY(),_xlfn.DAYS(D217,TODAY())&amp;" Dia(s) Restante do "&amp;Tabela2[[#This Row],[STATUS COLABORADOR]],IF(D217&lt;TODAY(),"VENCIDO",IF(D217=TODAY(),"ULTIMO DIA DE CONTRATO",)))))))),"")</f>
        <v/>
      </c>
    </row>
    <row r="218" spans="1:11" x14ac:dyDescent="0.25">
      <c r="A218" s="4"/>
      <c r="B218" s="4"/>
      <c r="C218" s="5"/>
      <c r="D218" s="6"/>
      <c r="E218" s="4"/>
      <c r="F218" s="4"/>
      <c r="G218" s="5"/>
      <c r="H218" s="19" t="str">
        <f>IF(Tabela2[[#This Row],[REALIZAÇÃO DO ASO]]="","",Tabela2[[#This Row],[REALIZAÇÃO DO ASO]]+365)</f>
        <v/>
      </c>
      <c r="I21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COLABORADOR]]="AFASTADO","AFASTADO",IF(D218&gt;TODAY(),_xlfn.DAYS(D218,TODAY())&amp;" Dia(s) Restante do "&amp;Tabela2[[#This Row],[STATUS COLABORADOR]],IF(D218&lt;TODAY(),"VENCIDO",IF(D218=TODAY(),"ULTIMO DIA DE CONTRATO",)))))))),"")</f>
        <v/>
      </c>
    </row>
    <row r="219" spans="1:11" x14ac:dyDescent="0.25">
      <c r="A219" s="4"/>
      <c r="B219" s="4"/>
      <c r="C219" s="5"/>
      <c r="D219" s="6"/>
      <c r="E219" s="4"/>
      <c r="F219" s="4"/>
      <c r="G219" s="5"/>
      <c r="H219" s="19" t="str">
        <f>IF(Tabela2[[#This Row],[REALIZAÇÃO DO ASO]]="","",Tabela2[[#This Row],[REALIZAÇÃO DO ASO]]+365)</f>
        <v/>
      </c>
      <c r="I21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1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1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COLABORADOR]]="AFASTADO","AFASTADO",IF(D219&gt;TODAY(),_xlfn.DAYS(D219,TODAY())&amp;" Dia(s) Restante do "&amp;Tabela2[[#This Row],[STATUS COLABORADOR]],IF(D219&lt;TODAY(),"VENCIDO",IF(D219=TODAY(),"ULTIMO DIA DE CONTRATO",)))))))),"")</f>
        <v/>
      </c>
    </row>
    <row r="220" spans="1:11" x14ac:dyDescent="0.25">
      <c r="A220" s="4"/>
      <c r="B220" s="4"/>
      <c r="C220" s="5"/>
      <c r="D220" s="6"/>
      <c r="E220" s="4"/>
      <c r="F220" s="4"/>
      <c r="G220" s="5"/>
      <c r="H220" s="19" t="str">
        <f>IF(Tabela2[[#This Row],[REALIZAÇÃO DO ASO]]="","",Tabela2[[#This Row],[REALIZAÇÃO DO ASO]]+365)</f>
        <v/>
      </c>
      <c r="I22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COLABORADOR]]="AFASTADO","AFASTADO",IF(D220&gt;TODAY(),_xlfn.DAYS(D220,TODAY())&amp;" Dia(s) Restante do "&amp;Tabela2[[#This Row],[STATUS COLABORADOR]],IF(D220&lt;TODAY(),"VENCIDO",IF(D220=TODAY(),"ULTIMO DIA DE CONTRATO",)))))))),"")</f>
        <v/>
      </c>
    </row>
    <row r="221" spans="1:11" x14ac:dyDescent="0.25">
      <c r="A221" s="4"/>
      <c r="B221" s="4"/>
      <c r="C221" s="5"/>
      <c r="D221" s="6"/>
      <c r="E221" s="4"/>
      <c r="F221" s="4"/>
      <c r="G221" s="5"/>
      <c r="H221" s="19" t="str">
        <f>IF(Tabela2[[#This Row],[REALIZAÇÃO DO ASO]]="","",Tabela2[[#This Row],[REALIZAÇÃO DO ASO]]+365)</f>
        <v/>
      </c>
      <c r="I22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COLABORADOR]]="AFASTADO","AFASTADO",IF(D221&gt;TODAY(),_xlfn.DAYS(D221,TODAY())&amp;" Dia(s) Restante do "&amp;Tabela2[[#This Row],[STATUS COLABORADOR]],IF(D221&lt;TODAY(),"VENCIDO",IF(D221=TODAY(),"ULTIMO DIA DE CONTRATO",)))))))),"")</f>
        <v/>
      </c>
    </row>
    <row r="222" spans="1:11" x14ac:dyDescent="0.25">
      <c r="A222" s="4"/>
      <c r="B222" s="4"/>
      <c r="C222" s="5"/>
      <c r="D222" s="6"/>
      <c r="E222" s="4"/>
      <c r="F222" s="4"/>
      <c r="G222" s="5"/>
      <c r="H222" s="19" t="str">
        <f>IF(Tabela2[[#This Row],[REALIZAÇÃO DO ASO]]="","",Tabela2[[#This Row],[REALIZAÇÃO DO ASO]]+365)</f>
        <v/>
      </c>
      <c r="I22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COLABORADOR]]="AFASTADO","AFASTADO",IF(D222&gt;TODAY(),_xlfn.DAYS(D222,TODAY())&amp;" Dia(s) Restante do "&amp;Tabela2[[#This Row],[STATUS COLABORADOR]],IF(D222&lt;TODAY(),"VENCIDO",IF(D222=TODAY(),"ULTIMO DIA DE CONTRATO",)))))))),"")</f>
        <v/>
      </c>
    </row>
    <row r="223" spans="1:11" x14ac:dyDescent="0.25">
      <c r="A223" s="4"/>
      <c r="B223" s="4"/>
      <c r="C223" s="5"/>
      <c r="D223" s="6"/>
      <c r="E223" s="4"/>
      <c r="F223" s="4"/>
      <c r="G223" s="5"/>
      <c r="H223" s="19" t="str">
        <f>IF(Tabela2[[#This Row],[REALIZAÇÃO DO ASO]]="","",Tabela2[[#This Row],[REALIZAÇÃO DO ASO]]+365)</f>
        <v/>
      </c>
      <c r="I22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COLABORADOR]]="AFASTADO","AFASTADO",IF(D223&gt;TODAY(),_xlfn.DAYS(D223,TODAY())&amp;" Dia(s) Restante do "&amp;Tabela2[[#This Row],[STATUS COLABORADOR]],IF(D223&lt;TODAY(),"VENCIDO",IF(D223=TODAY(),"ULTIMO DIA DE CONTRATO",)))))))),"")</f>
        <v/>
      </c>
    </row>
    <row r="224" spans="1:11" x14ac:dyDescent="0.25">
      <c r="A224" s="4"/>
      <c r="B224" s="4"/>
      <c r="C224" s="5"/>
      <c r="D224" s="6"/>
      <c r="E224" s="4"/>
      <c r="F224" s="4"/>
      <c r="G224" s="5"/>
      <c r="H224" s="19" t="str">
        <f>IF(Tabela2[[#This Row],[REALIZAÇÃO DO ASO]]="","",Tabela2[[#This Row],[REALIZAÇÃO DO ASO]]+365)</f>
        <v/>
      </c>
      <c r="I22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COLABORADOR]]="AFASTADO","AFASTADO",IF(D224&gt;TODAY(),_xlfn.DAYS(D224,TODAY())&amp;" Dia(s) Restante do "&amp;Tabela2[[#This Row],[STATUS COLABORADOR]],IF(D224&lt;TODAY(),"VENCIDO",IF(D224=TODAY(),"ULTIMO DIA DE CONTRATO",)))))))),"")</f>
        <v/>
      </c>
    </row>
    <row r="225" spans="1:11" x14ac:dyDescent="0.25">
      <c r="A225" s="4"/>
      <c r="B225" s="4"/>
      <c r="C225" s="5"/>
      <c r="D225" s="6"/>
      <c r="E225" s="4"/>
      <c r="F225" s="4"/>
      <c r="G225" s="5"/>
      <c r="H225" s="19" t="str">
        <f>IF(Tabela2[[#This Row],[REALIZAÇÃO DO ASO]]="","",Tabela2[[#This Row],[REALIZAÇÃO DO ASO]]+365)</f>
        <v/>
      </c>
      <c r="I22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COLABORADOR]]="AFASTADO","AFASTADO",IF(D225&gt;TODAY(),_xlfn.DAYS(D225,TODAY())&amp;" Dia(s) Restante do "&amp;Tabela2[[#This Row],[STATUS COLABORADOR]],IF(D225&lt;TODAY(),"VENCIDO",IF(D225=TODAY(),"ULTIMO DIA DE CONTRATO",)))))))),"")</f>
        <v/>
      </c>
    </row>
    <row r="226" spans="1:11" x14ac:dyDescent="0.25">
      <c r="A226" s="4"/>
      <c r="B226" s="4"/>
      <c r="C226" s="5"/>
      <c r="D226" s="6"/>
      <c r="E226" s="4"/>
      <c r="F226" s="4"/>
      <c r="G226" s="5"/>
      <c r="H226" s="19" t="str">
        <f>IF(Tabela2[[#This Row],[REALIZAÇÃO DO ASO]]="","",Tabela2[[#This Row],[REALIZAÇÃO DO ASO]]+365)</f>
        <v/>
      </c>
      <c r="I22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COLABORADOR]]="AFASTADO","AFASTADO",IF(D226&gt;TODAY(),_xlfn.DAYS(D226,TODAY())&amp;" Dia(s) Restante do "&amp;Tabela2[[#This Row],[STATUS COLABORADOR]],IF(D226&lt;TODAY(),"VENCIDO",IF(D226=TODAY(),"ULTIMO DIA DE CONTRATO",)))))))),"")</f>
        <v/>
      </c>
    </row>
    <row r="227" spans="1:11" x14ac:dyDescent="0.25">
      <c r="A227" s="4"/>
      <c r="B227" s="4"/>
      <c r="C227" s="5"/>
      <c r="D227" s="6"/>
      <c r="E227" s="4"/>
      <c r="F227" s="4"/>
      <c r="G227" s="5"/>
      <c r="H227" s="19" t="str">
        <f>IF(Tabela2[[#This Row],[REALIZAÇÃO DO ASO]]="","",Tabela2[[#This Row],[REALIZAÇÃO DO ASO]]+365)</f>
        <v/>
      </c>
      <c r="I22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COLABORADOR]]="AFASTADO","AFASTADO",IF(D227&gt;TODAY(),_xlfn.DAYS(D227,TODAY())&amp;" Dia(s) Restante do "&amp;Tabela2[[#This Row],[STATUS COLABORADOR]],IF(D227&lt;TODAY(),"VENCIDO",IF(D227=TODAY(),"ULTIMO DIA DE CONTRATO",)))))))),"")</f>
        <v/>
      </c>
    </row>
    <row r="228" spans="1:11" x14ac:dyDescent="0.25">
      <c r="A228" s="4"/>
      <c r="B228" s="4"/>
      <c r="C228" s="5"/>
      <c r="D228" s="6"/>
      <c r="E228" s="4"/>
      <c r="F228" s="4"/>
      <c r="G228" s="5"/>
      <c r="H228" s="19" t="str">
        <f>IF(Tabela2[[#This Row],[REALIZAÇÃO DO ASO]]="","",Tabela2[[#This Row],[REALIZAÇÃO DO ASO]]+365)</f>
        <v/>
      </c>
      <c r="I22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COLABORADOR]]="AFASTADO","AFASTADO",IF(D228&gt;TODAY(),_xlfn.DAYS(D228,TODAY())&amp;" Dia(s) Restante do "&amp;Tabela2[[#This Row],[STATUS COLABORADOR]],IF(D228&lt;TODAY(),"VENCIDO",IF(D228=TODAY(),"ULTIMO DIA DE CONTRATO",)))))))),"")</f>
        <v/>
      </c>
    </row>
    <row r="229" spans="1:11" x14ac:dyDescent="0.25">
      <c r="A229" s="4"/>
      <c r="B229" s="4"/>
      <c r="C229" s="5"/>
      <c r="D229" s="6"/>
      <c r="E229" s="4"/>
      <c r="F229" s="4"/>
      <c r="G229" s="5"/>
      <c r="H229" s="19" t="str">
        <f>IF(Tabela2[[#This Row],[REALIZAÇÃO DO ASO]]="","",Tabela2[[#This Row],[REALIZAÇÃO DO ASO]]+365)</f>
        <v/>
      </c>
      <c r="I22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2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2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COLABORADOR]]="AFASTADO","AFASTADO",IF(D229&gt;TODAY(),_xlfn.DAYS(D229,TODAY())&amp;" Dia(s) Restante do "&amp;Tabela2[[#This Row],[STATUS COLABORADOR]],IF(D229&lt;TODAY(),"VENCIDO",IF(D229=TODAY(),"ULTIMO DIA DE CONTRATO",)))))))),"")</f>
        <v/>
      </c>
    </row>
    <row r="230" spans="1:11" x14ac:dyDescent="0.25">
      <c r="A230" s="4"/>
      <c r="B230" s="4"/>
      <c r="C230" s="5"/>
      <c r="D230" s="6"/>
      <c r="E230" s="4"/>
      <c r="F230" s="4"/>
      <c r="G230" s="5"/>
      <c r="H230" s="19" t="str">
        <f>IF(Tabela2[[#This Row],[REALIZAÇÃO DO ASO]]="","",Tabela2[[#This Row],[REALIZAÇÃO DO ASO]]+365)</f>
        <v/>
      </c>
      <c r="I23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COLABORADOR]]="AFASTADO","AFASTADO",IF(D230&gt;TODAY(),_xlfn.DAYS(D230,TODAY())&amp;" Dia(s) Restante do "&amp;Tabela2[[#This Row],[STATUS COLABORADOR]],IF(D230&lt;TODAY(),"VENCIDO",IF(D230=TODAY(),"ULTIMO DIA DE CONTRATO",)))))))),"")</f>
        <v/>
      </c>
    </row>
    <row r="231" spans="1:11" x14ac:dyDescent="0.25">
      <c r="A231" s="4"/>
      <c r="B231" s="4"/>
      <c r="C231" s="5"/>
      <c r="D231" s="6"/>
      <c r="E231" s="4"/>
      <c r="F231" s="4"/>
      <c r="G231" s="5"/>
      <c r="H231" s="19" t="str">
        <f>IF(Tabela2[[#This Row],[REALIZAÇÃO DO ASO]]="","",Tabela2[[#This Row],[REALIZAÇÃO DO ASO]]+365)</f>
        <v/>
      </c>
      <c r="I23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COLABORADOR]]="AFASTADO","AFASTADO",IF(D231&gt;TODAY(),_xlfn.DAYS(D231,TODAY())&amp;" Dia(s) Restante do "&amp;Tabela2[[#This Row],[STATUS COLABORADOR]],IF(D231&lt;TODAY(),"VENCIDO",IF(D231=TODAY(),"ULTIMO DIA DE CONTRATO",)))))))),"")</f>
        <v/>
      </c>
    </row>
    <row r="232" spans="1:11" x14ac:dyDescent="0.25">
      <c r="A232" s="4"/>
      <c r="B232" s="4"/>
      <c r="C232" s="5"/>
      <c r="D232" s="6"/>
      <c r="E232" s="4"/>
      <c r="F232" s="4"/>
      <c r="G232" s="5"/>
      <c r="H232" s="19" t="str">
        <f>IF(Tabela2[[#This Row],[REALIZAÇÃO DO ASO]]="","",Tabela2[[#This Row],[REALIZAÇÃO DO ASO]]+365)</f>
        <v/>
      </c>
      <c r="I23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COLABORADOR]]="AFASTADO","AFASTADO",IF(D232&gt;TODAY(),_xlfn.DAYS(D232,TODAY())&amp;" Dia(s) Restante do "&amp;Tabela2[[#This Row],[STATUS COLABORADOR]],IF(D232&lt;TODAY(),"VENCIDO",IF(D232=TODAY(),"ULTIMO DIA DE CONTRATO",)))))))),"")</f>
        <v/>
      </c>
    </row>
    <row r="233" spans="1:11" x14ac:dyDescent="0.25">
      <c r="A233" s="4"/>
      <c r="B233" s="4"/>
      <c r="C233" s="5"/>
      <c r="D233" s="6"/>
      <c r="E233" s="4"/>
      <c r="F233" s="4"/>
      <c r="G233" s="5"/>
      <c r="H233" s="19" t="str">
        <f>IF(Tabela2[[#This Row],[REALIZAÇÃO DO ASO]]="","",Tabela2[[#This Row],[REALIZAÇÃO DO ASO]]+365)</f>
        <v/>
      </c>
      <c r="I23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COLABORADOR]]="AFASTADO","AFASTADO",IF(D233&gt;TODAY(),_xlfn.DAYS(D233,TODAY())&amp;" Dia(s) Restante do "&amp;Tabela2[[#This Row],[STATUS COLABORADOR]],IF(D233&lt;TODAY(),"VENCIDO",IF(D233=TODAY(),"ULTIMO DIA DE CONTRATO",)))))))),"")</f>
        <v/>
      </c>
    </row>
    <row r="234" spans="1:11" x14ac:dyDescent="0.25">
      <c r="A234" s="4"/>
      <c r="B234" s="4"/>
      <c r="C234" s="5"/>
      <c r="D234" s="6"/>
      <c r="E234" s="4"/>
      <c r="F234" s="4"/>
      <c r="G234" s="5"/>
      <c r="H234" s="19" t="str">
        <f>IF(Tabela2[[#This Row],[REALIZAÇÃO DO ASO]]="","",Tabela2[[#This Row],[REALIZAÇÃO DO ASO]]+365)</f>
        <v/>
      </c>
      <c r="I23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COLABORADOR]]="AFASTADO","AFASTADO",IF(D234&gt;TODAY(),_xlfn.DAYS(D234,TODAY())&amp;" Dia(s) Restante do "&amp;Tabela2[[#This Row],[STATUS COLABORADOR]],IF(D234&lt;TODAY(),"VENCIDO",IF(D234=TODAY(),"ULTIMO DIA DE CONTRATO",)))))))),"")</f>
        <v/>
      </c>
    </row>
    <row r="235" spans="1:11" x14ac:dyDescent="0.25">
      <c r="A235" s="4"/>
      <c r="B235" s="4"/>
      <c r="C235" s="5"/>
      <c r="D235" s="6"/>
      <c r="E235" s="4"/>
      <c r="F235" s="4"/>
      <c r="G235" s="5"/>
      <c r="H235" s="19" t="str">
        <f>IF(Tabela2[[#This Row],[REALIZAÇÃO DO ASO]]="","",Tabela2[[#This Row],[REALIZAÇÃO DO ASO]]+365)</f>
        <v/>
      </c>
      <c r="I23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COLABORADOR]]="AFASTADO","AFASTADO",IF(D235&gt;TODAY(),_xlfn.DAYS(D235,TODAY())&amp;" Dia(s) Restante do "&amp;Tabela2[[#This Row],[STATUS COLABORADOR]],IF(D235&lt;TODAY(),"VENCIDO",IF(D235=TODAY(),"ULTIMO DIA DE CONTRATO",)))))))),"")</f>
        <v/>
      </c>
    </row>
    <row r="236" spans="1:11" x14ac:dyDescent="0.25">
      <c r="A236" s="4"/>
      <c r="B236" s="4"/>
      <c r="C236" s="5"/>
      <c r="D236" s="6"/>
      <c r="E236" s="4"/>
      <c r="F236" s="4"/>
      <c r="G236" s="5"/>
      <c r="H236" s="19" t="str">
        <f>IF(Tabela2[[#This Row],[REALIZAÇÃO DO ASO]]="","",Tabela2[[#This Row],[REALIZAÇÃO DO ASO]]+365)</f>
        <v/>
      </c>
      <c r="I23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COLABORADOR]]="AFASTADO","AFASTADO",IF(D236&gt;TODAY(),_xlfn.DAYS(D236,TODAY())&amp;" Dia(s) Restante do "&amp;Tabela2[[#This Row],[STATUS COLABORADOR]],IF(D236&lt;TODAY(),"VENCIDO",IF(D236=TODAY(),"ULTIMO DIA DE CONTRATO",)))))))),"")</f>
        <v/>
      </c>
    </row>
    <row r="237" spans="1:11" x14ac:dyDescent="0.25">
      <c r="A237" s="4"/>
      <c r="B237" s="4"/>
      <c r="C237" s="5"/>
      <c r="D237" s="6"/>
      <c r="E237" s="4"/>
      <c r="F237" s="4"/>
      <c r="G237" s="5"/>
      <c r="H237" s="19" t="str">
        <f>IF(Tabela2[[#This Row],[REALIZAÇÃO DO ASO]]="","",Tabela2[[#This Row],[REALIZAÇÃO DO ASO]]+365)</f>
        <v/>
      </c>
      <c r="I23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COLABORADOR]]="AFASTADO","AFASTADO",IF(D237&gt;TODAY(),_xlfn.DAYS(D237,TODAY())&amp;" Dia(s) Restante do "&amp;Tabela2[[#This Row],[STATUS COLABORADOR]],IF(D237&lt;TODAY(),"VENCIDO",IF(D237=TODAY(),"ULTIMO DIA DE CONTRATO",)))))))),"")</f>
        <v/>
      </c>
    </row>
    <row r="238" spans="1:11" x14ac:dyDescent="0.25">
      <c r="A238" s="4"/>
      <c r="B238" s="4"/>
      <c r="C238" s="5"/>
      <c r="D238" s="6"/>
      <c r="E238" s="4"/>
      <c r="F238" s="4"/>
      <c r="G238" s="5"/>
      <c r="H238" s="19" t="str">
        <f>IF(Tabela2[[#This Row],[REALIZAÇÃO DO ASO]]="","",Tabela2[[#This Row],[REALIZAÇÃO DO ASO]]+365)</f>
        <v/>
      </c>
      <c r="I23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COLABORADOR]]="AFASTADO","AFASTADO",IF(D238&gt;TODAY(),_xlfn.DAYS(D238,TODAY())&amp;" Dia(s) Restante do "&amp;Tabela2[[#This Row],[STATUS COLABORADOR]],IF(D238&lt;TODAY(),"VENCIDO",IF(D238=TODAY(),"ULTIMO DIA DE CONTRATO",)))))))),"")</f>
        <v/>
      </c>
    </row>
    <row r="239" spans="1:11" x14ac:dyDescent="0.25">
      <c r="A239" s="4"/>
      <c r="B239" s="4"/>
      <c r="C239" s="5"/>
      <c r="D239" s="6"/>
      <c r="E239" s="4"/>
      <c r="F239" s="4"/>
      <c r="G239" s="5"/>
      <c r="H239" s="19" t="str">
        <f>IF(Tabela2[[#This Row],[REALIZAÇÃO DO ASO]]="","",Tabela2[[#This Row],[REALIZAÇÃO DO ASO]]+365)</f>
        <v/>
      </c>
      <c r="I23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3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3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COLABORADOR]]="AFASTADO","AFASTADO",IF(D239&gt;TODAY(),_xlfn.DAYS(D239,TODAY())&amp;" Dia(s) Restante do "&amp;Tabela2[[#This Row],[STATUS COLABORADOR]],IF(D239&lt;TODAY(),"VENCIDO",IF(D239=TODAY(),"ULTIMO DIA DE CONTRATO",)))))))),"")</f>
        <v/>
      </c>
    </row>
    <row r="240" spans="1:11" x14ac:dyDescent="0.25">
      <c r="A240" s="4"/>
      <c r="B240" s="4"/>
      <c r="C240" s="5"/>
      <c r="D240" s="6"/>
      <c r="E240" s="4"/>
      <c r="F240" s="4"/>
      <c r="G240" s="5"/>
      <c r="H240" s="19" t="str">
        <f>IF(Tabela2[[#This Row],[REALIZAÇÃO DO ASO]]="","",Tabela2[[#This Row],[REALIZAÇÃO DO ASO]]+365)</f>
        <v/>
      </c>
      <c r="I24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COLABORADOR]]="AFASTADO","AFASTADO",IF(D240&gt;TODAY(),_xlfn.DAYS(D240,TODAY())&amp;" Dia(s) Restante do "&amp;Tabela2[[#This Row],[STATUS COLABORADOR]],IF(D240&lt;TODAY(),"VENCIDO",IF(D240=TODAY(),"ULTIMO DIA DE CONTRATO",)))))))),"")</f>
        <v/>
      </c>
    </row>
    <row r="241" spans="1:11" x14ac:dyDescent="0.25">
      <c r="A241" s="4"/>
      <c r="B241" s="4"/>
      <c r="C241" s="5"/>
      <c r="D241" s="6"/>
      <c r="E241" s="4"/>
      <c r="F241" s="4"/>
      <c r="G241" s="5"/>
      <c r="H241" s="19" t="str">
        <f>IF(Tabela2[[#This Row],[REALIZAÇÃO DO ASO]]="","",Tabela2[[#This Row],[REALIZAÇÃO DO ASO]]+365)</f>
        <v/>
      </c>
      <c r="I24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COLABORADOR]]="AFASTADO","AFASTADO",IF(D241&gt;TODAY(),_xlfn.DAYS(D241,TODAY())&amp;" Dia(s) Restante do "&amp;Tabela2[[#This Row],[STATUS COLABORADOR]],IF(D241&lt;TODAY(),"VENCIDO",IF(D241=TODAY(),"ULTIMO DIA DE CONTRATO",)))))))),"")</f>
        <v/>
      </c>
    </row>
    <row r="242" spans="1:11" x14ac:dyDescent="0.25">
      <c r="A242" s="4"/>
      <c r="B242" s="4"/>
      <c r="C242" s="5"/>
      <c r="D242" s="6"/>
      <c r="E242" s="4"/>
      <c r="F242" s="4"/>
      <c r="G242" s="5"/>
      <c r="H242" s="19" t="str">
        <f>IF(Tabela2[[#This Row],[REALIZAÇÃO DO ASO]]="","",Tabela2[[#This Row],[REALIZAÇÃO DO ASO]]+365)</f>
        <v/>
      </c>
      <c r="I24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COLABORADOR]]="AFASTADO","AFASTADO",IF(D242&gt;TODAY(),_xlfn.DAYS(D242,TODAY())&amp;" Dia(s) Restante do "&amp;Tabela2[[#This Row],[STATUS COLABORADOR]],IF(D242&lt;TODAY(),"VENCIDO",IF(D242=TODAY(),"ULTIMO DIA DE CONTRATO",)))))))),"")</f>
        <v/>
      </c>
    </row>
    <row r="243" spans="1:11" x14ac:dyDescent="0.25">
      <c r="A243" s="4"/>
      <c r="B243" s="4"/>
      <c r="C243" s="5"/>
      <c r="D243" s="6"/>
      <c r="E243" s="4"/>
      <c r="F243" s="4"/>
      <c r="G243" s="5"/>
      <c r="H243" s="19" t="str">
        <f>IF(Tabela2[[#This Row],[REALIZAÇÃO DO ASO]]="","",Tabela2[[#This Row],[REALIZAÇÃO DO ASO]]+365)</f>
        <v/>
      </c>
      <c r="I24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COLABORADOR]]="AFASTADO","AFASTADO",IF(D243&gt;TODAY(),_xlfn.DAYS(D243,TODAY())&amp;" Dia(s) Restante do "&amp;Tabela2[[#This Row],[STATUS COLABORADOR]],IF(D243&lt;TODAY(),"VENCIDO",IF(D243=TODAY(),"ULTIMO DIA DE CONTRATO",)))))))),"")</f>
        <v/>
      </c>
    </row>
    <row r="244" spans="1:11" x14ac:dyDescent="0.25">
      <c r="A244" s="4"/>
      <c r="B244" s="4"/>
      <c r="C244" s="5"/>
      <c r="D244" s="6"/>
      <c r="E244" s="4"/>
      <c r="F244" s="4"/>
      <c r="G244" s="5"/>
      <c r="H244" s="19" t="str">
        <f>IF(Tabela2[[#This Row],[REALIZAÇÃO DO ASO]]="","",Tabela2[[#This Row],[REALIZAÇÃO DO ASO]]+365)</f>
        <v/>
      </c>
      <c r="I24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COLABORADOR]]="AFASTADO","AFASTADO",IF(D244&gt;TODAY(),_xlfn.DAYS(D244,TODAY())&amp;" Dia(s) Restante do "&amp;Tabela2[[#This Row],[STATUS COLABORADOR]],IF(D244&lt;TODAY(),"VENCIDO",IF(D244=TODAY(),"ULTIMO DIA DE CONTRATO",)))))))),"")</f>
        <v/>
      </c>
    </row>
    <row r="245" spans="1:11" x14ac:dyDescent="0.25">
      <c r="A245" s="4"/>
      <c r="B245" s="4"/>
      <c r="C245" s="5"/>
      <c r="D245" s="6"/>
      <c r="E245" s="4"/>
      <c r="F245" s="4"/>
      <c r="G245" s="5"/>
      <c r="H245" s="19" t="str">
        <f>IF(Tabela2[[#This Row],[REALIZAÇÃO DO ASO]]="","",Tabela2[[#This Row],[REALIZAÇÃO DO ASO]]+365)</f>
        <v/>
      </c>
      <c r="I24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COLABORADOR]]="AFASTADO","AFASTADO",IF(D245&gt;TODAY(),_xlfn.DAYS(D245,TODAY())&amp;" Dia(s) Restante do "&amp;Tabela2[[#This Row],[STATUS COLABORADOR]],IF(D245&lt;TODAY(),"VENCIDO",IF(D245=TODAY(),"ULTIMO DIA DE CONTRATO",)))))))),"")</f>
        <v/>
      </c>
    </row>
    <row r="246" spans="1:11" x14ac:dyDescent="0.25">
      <c r="A246" s="4"/>
      <c r="B246" s="4"/>
      <c r="C246" s="5"/>
      <c r="D246" s="6"/>
      <c r="E246" s="4"/>
      <c r="F246" s="4"/>
      <c r="G246" s="5"/>
      <c r="H246" s="19" t="str">
        <f>IF(Tabela2[[#This Row],[REALIZAÇÃO DO ASO]]="","",Tabela2[[#This Row],[REALIZAÇÃO DO ASO]]+365)</f>
        <v/>
      </c>
      <c r="I24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COLABORADOR]]="AFASTADO","AFASTADO",IF(D246&gt;TODAY(),_xlfn.DAYS(D246,TODAY())&amp;" Dia(s) Restante do "&amp;Tabela2[[#This Row],[STATUS COLABORADOR]],IF(D246&lt;TODAY(),"VENCIDO",IF(D246=TODAY(),"ULTIMO DIA DE CONTRATO",)))))))),"")</f>
        <v/>
      </c>
    </row>
    <row r="247" spans="1:11" x14ac:dyDescent="0.25">
      <c r="A247" s="4"/>
      <c r="B247" s="4"/>
      <c r="C247" s="5"/>
      <c r="D247" s="6"/>
      <c r="E247" s="4"/>
      <c r="F247" s="4"/>
      <c r="G247" s="5"/>
      <c r="H247" s="19" t="str">
        <f>IF(Tabela2[[#This Row],[REALIZAÇÃO DO ASO]]="","",Tabela2[[#This Row],[REALIZAÇÃO DO ASO]]+365)</f>
        <v/>
      </c>
      <c r="I24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COLABORADOR]]="AFASTADO","AFASTADO",IF(D247&gt;TODAY(),_xlfn.DAYS(D247,TODAY())&amp;" Dia(s) Restante do "&amp;Tabela2[[#This Row],[STATUS COLABORADOR]],IF(D247&lt;TODAY(),"VENCIDO",IF(D247=TODAY(),"ULTIMO DIA DE CONTRATO",)))))))),"")</f>
        <v/>
      </c>
    </row>
    <row r="248" spans="1:11" x14ac:dyDescent="0.25">
      <c r="A248" s="4"/>
      <c r="B248" s="4"/>
      <c r="C248" s="5"/>
      <c r="D248" s="6"/>
      <c r="E248" s="4"/>
      <c r="F248" s="4"/>
      <c r="G248" s="5"/>
      <c r="H248" s="19" t="str">
        <f>IF(Tabela2[[#This Row],[REALIZAÇÃO DO ASO]]="","",Tabela2[[#This Row],[REALIZAÇÃO DO ASO]]+365)</f>
        <v/>
      </c>
      <c r="I24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COLABORADOR]]="AFASTADO","AFASTADO",IF(D248&gt;TODAY(),_xlfn.DAYS(D248,TODAY())&amp;" Dia(s) Restante do "&amp;Tabela2[[#This Row],[STATUS COLABORADOR]],IF(D248&lt;TODAY(),"VENCIDO",IF(D248=TODAY(),"ULTIMO DIA DE CONTRATO",)))))))),"")</f>
        <v/>
      </c>
    </row>
    <row r="249" spans="1:11" x14ac:dyDescent="0.25">
      <c r="A249" s="4"/>
      <c r="B249" s="4"/>
      <c r="C249" s="5"/>
      <c r="D249" s="6"/>
      <c r="E249" s="4"/>
      <c r="F249" s="4"/>
      <c r="G249" s="5"/>
      <c r="H249" s="19" t="str">
        <f>IF(Tabela2[[#This Row],[REALIZAÇÃO DO ASO]]="","",Tabela2[[#This Row],[REALIZAÇÃO DO ASO]]+365)</f>
        <v/>
      </c>
      <c r="I24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4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4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COLABORADOR]]="AFASTADO","AFASTADO",IF(D249&gt;TODAY(),_xlfn.DAYS(D249,TODAY())&amp;" Dia(s) Restante do "&amp;Tabela2[[#This Row],[STATUS COLABORADOR]],IF(D249&lt;TODAY(),"VENCIDO",IF(D249=TODAY(),"ULTIMO DIA DE CONTRATO",)))))))),"")</f>
        <v/>
      </c>
    </row>
    <row r="250" spans="1:11" x14ac:dyDescent="0.25">
      <c r="A250" s="4"/>
      <c r="B250" s="4"/>
      <c r="C250" s="5"/>
      <c r="D250" s="6"/>
      <c r="E250" s="4"/>
      <c r="F250" s="4"/>
      <c r="G250" s="5"/>
      <c r="H250" s="19" t="str">
        <f>IF(Tabela2[[#This Row],[REALIZAÇÃO DO ASO]]="","",Tabela2[[#This Row],[REALIZAÇÃO DO ASO]]+365)</f>
        <v/>
      </c>
      <c r="I25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COLABORADOR]]="AFASTADO","AFASTADO",IF(D250&gt;TODAY(),_xlfn.DAYS(D250,TODAY())&amp;" Dia(s) Restante do "&amp;Tabela2[[#This Row],[STATUS COLABORADOR]],IF(D250&lt;TODAY(),"VENCIDO",IF(D250=TODAY(),"ULTIMO DIA DE CONTRATO",)))))))),"")</f>
        <v/>
      </c>
    </row>
    <row r="251" spans="1:11" x14ac:dyDescent="0.25">
      <c r="A251" s="4"/>
      <c r="B251" s="4"/>
      <c r="C251" s="5"/>
      <c r="D251" s="6"/>
      <c r="E251" s="4"/>
      <c r="F251" s="4"/>
      <c r="G251" s="5"/>
      <c r="H251" s="19" t="str">
        <f>IF(Tabela2[[#This Row],[REALIZAÇÃO DO ASO]]="","",Tabela2[[#This Row],[REALIZAÇÃO DO ASO]]+365)</f>
        <v/>
      </c>
      <c r="I25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COLABORADOR]]="AFASTADO","AFASTADO",IF(D251&gt;TODAY(),_xlfn.DAYS(D251,TODAY())&amp;" Dia(s) Restante do "&amp;Tabela2[[#This Row],[STATUS COLABORADOR]],IF(D251&lt;TODAY(),"VENCIDO",IF(D251=TODAY(),"ULTIMO DIA DE CONTRATO",)))))))),"")</f>
        <v/>
      </c>
    </row>
    <row r="252" spans="1:11" x14ac:dyDescent="0.25">
      <c r="A252" s="4"/>
      <c r="B252" s="4"/>
      <c r="C252" s="5"/>
      <c r="D252" s="6"/>
      <c r="E252" s="4"/>
      <c r="F252" s="4"/>
      <c r="G252" s="5"/>
      <c r="H252" s="19" t="str">
        <f>IF(Tabela2[[#This Row],[REALIZAÇÃO DO ASO]]="","",Tabela2[[#This Row],[REALIZAÇÃO DO ASO]]+365)</f>
        <v/>
      </c>
      <c r="I25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COLABORADOR]]="AFASTADO","AFASTADO",IF(D252&gt;TODAY(),_xlfn.DAYS(D252,TODAY())&amp;" Dia(s) Restante do "&amp;Tabela2[[#This Row],[STATUS COLABORADOR]],IF(D252&lt;TODAY(),"VENCIDO",IF(D252=TODAY(),"ULTIMO DIA DE CONTRATO",)))))))),"")</f>
        <v/>
      </c>
    </row>
    <row r="253" spans="1:11" x14ac:dyDescent="0.25">
      <c r="A253" s="4"/>
      <c r="B253" s="4"/>
      <c r="C253" s="5"/>
      <c r="D253" s="6"/>
      <c r="E253" s="4"/>
      <c r="F253" s="4"/>
      <c r="G253" s="5"/>
      <c r="H253" s="19" t="str">
        <f>IF(Tabela2[[#This Row],[REALIZAÇÃO DO ASO]]="","",Tabela2[[#This Row],[REALIZAÇÃO DO ASO]]+365)</f>
        <v/>
      </c>
      <c r="I25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COLABORADOR]]="AFASTADO","AFASTADO",IF(D253&gt;TODAY(),_xlfn.DAYS(D253,TODAY())&amp;" Dia(s) Restante do "&amp;Tabela2[[#This Row],[STATUS COLABORADOR]],IF(D253&lt;TODAY(),"VENCIDO",IF(D253=TODAY(),"ULTIMO DIA DE CONTRATO",)))))))),"")</f>
        <v/>
      </c>
    </row>
    <row r="254" spans="1:11" x14ac:dyDescent="0.25">
      <c r="A254" s="4"/>
      <c r="B254" s="4"/>
      <c r="C254" s="5"/>
      <c r="D254" s="6"/>
      <c r="E254" s="4"/>
      <c r="F254" s="4"/>
      <c r="G254" s="5"/>
      <c r="H254" s="19" t="str">
        <f>IF(Tabela2[[#This Row],[REALIZAÇÃO DO ASO]]="","",Tabela2[[#This Row],[REALIZAÇÃO DO ASO]]+365)</f>
        <v/>
      </c>
      <c r="I25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COLABORADOR]]="AFASTADO","AFASTADO",IF(D254&gt;TODAY(),_xlfn.DAYS(D254,TODAY())&amp;" Dia(s) Restante do "&amp;Tabela2[[#This Row],[STATUS COLABORADOR]],IF(D254&lt;TODAY(),"VENCIDO",IF(D254=TODAY(),"ULTIMO DIA DE CONTRATO",)))))))),"")</f>
        <v/>
      </c>
    </row>
    <row r="255" spans="1:11" x14ac:dyDescent="0.25">
      <c r="A255" s="4"/>
      <c r="B255" s="4"/>
      <c r="C255" s="5"/>
      <c r="D255" s="6"/>
      <c r="E255" s="4"/>
      <c r="F255" s="4"/>
      <c r="G255" s="5"/>
      <c r="H255" s="19" t="str">
        <f>IF(Tabela2[[#This Row],[REALIZAÇÃO DO ASO]]="","",Tabela2[[#This Row],[REALIZAÇÃO DO ASO]]+365)</f>
        <v/>
      </c>
      <c r="I25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COLABORADOR]]="AFASTADO","AFASTADO",IF(D255&gt;TODAY(),_xlfn.DAYS(D255,TODAY())&amp;" Dia(s) Restante do "&amp;Tabela2[[#This Row],[STATUS COLABORADOR]],IF(D255&lt;TODAY(),"VENCIDO",IF(D255=TODAY(),"ULTIMO DIA DE CONTRATO",)))))))),"")</f>
        <v/>
      </c>
    </row>
    <row r="256" spans="1:11" x14ac:dyDescent="0.25">
      <c r="A256" s="4"/>
      <c r="B256" s="4"/>
      <c r="C256" s="5"/>
      <c r="D256" s="6"/>
      <c r="E256" s="4"/>
      <c r="F256" s="4"/>
      <c r="G256" s="5"/>
      <c r="H256" s="19" t="str">
        <f>IF(Tabela2[[#This Row],[REALIZAÇÃO DO ASO]]="","",Tabela2[[#This Row],[REALIZAÇÃO DO ASO]]+365)</f>
        <v/>
      </c>
      <c r="I25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COLABORADOR]]="AFASTADO","AFASTADO",IF(D256&gt;TODAY(),_xlfn.DAYS(D256,TODAY())&amp;" Dia(s) Restante do "&amp;Tabela2[[#This Row],[STATUS COLABORADOR]],IF(D256&lt;TODAY(),"VENCIDO",IF(D256=TODAY(),"ULTIMO DIA DE CONTRATO",)))))))),"")</f>
        <v/>
      </c>
    </row>
    <row r="257" spans="1:11" x14ac:dyDescent="0.25">
      <c r="A257" s="4"/>
      <c r="B257" s="4"/>
      <c r="C257" s="5"/>
      <c r="D257" s="6"/>
      <c r="E257" s="4"/>
      <c r="F257" s="4"/>
      <c r="G257" s="5"/>
      <c r="H257" s="19" t="str">
        <f>IF(Tabela2[[#This Row],[REALIZAÇÃO DO ASO]]="","",Tabela2[[#This Row],[REALIZAÇÃO DO ASO]]+365)</f>
        <v/>
      </c>
      <c r="I25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COLABORADOR]]="AFASTADO","AFASTADO",IF(D257&gt;TODAY(),_xlfn.DAYS(D257,TODAY())&amp;" Dia(s) Restante do "&amp;Tabela2[[#This Row],[STATUS COLABORADOR]],IF(D257&lt;TODAY(),"VENCIDO",IF(D257=TODAY(),"ULTIMO DIA DE CONTRATO",)))))))),"")</f>
        <v/>
      </c>
    </row>
    <row r="258" spans="1:11" x14ac:dyDescent="0.25">
      <c r="A258" s="4"/>
      <c r="B258" s="4"/>
      <c r="C258" s="5"/>
      <c r="D258" s="6"/>
      <c r="E258" s="4"/>
      <c r="F258" s="4"/>
      <c r="G258" s="5"/>
      <c r="H258" s="19" t="str">
        <f>IF(Tabela2[[#This Row],[REALIZAÇÃO DO ASO]]="","",Tabela2[[#This Row],[REALIZAÇÃO DO ASO]]+365)</f>
        <v/>
      </c>
      <c r="I25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COLABORADOR]]="AFASTADO","AFASTADO",IF(D258&gt;TODAY(),_xlfn.DAYS(D258,TODAY())&amp;" Dia(s) Restante do "&amp;Tabela2[[#This Row],[STATUS COLABORADOR]],IF(D258&lt;TODAY(),"VENCIDO",IF(D258=TODAY(),"ULTIMO DIA DE CONTRATO",)))))))),"")</f>
        <v/>
      </c>
    </row>
    <row r="259" spans="1:11" x14ac:dyDescent="0.25">
      <c r="A259" s="4"/>
      <c r="B259" s="4"/>
      <c r="C259" s="5"/>
      <c r="D259" s="6"/>
      <c r="E259" s="4"/>
      <c r="F259" s="4"/>
      <c r="G259" s="5"/>
      <c r="H259" s="19" t="str">
        <f>IF(Tabela2[[#This Row],[REALIZAÇÃO DO ASO]]="","",Tabela2[[#This Row],[REALIZAÇÃO DO ASO]]+365)</f>
        <v/>
      </c>
      <c r="I25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5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5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COLABORADOR]]="AFASTADO","AFASTADO",IF(D259&gt;TODAY(),_xlfn.DAYS(D259,TODAY())&amp;" Dia(s) Restante do "&amp;Tabela2[[#This Row],[STATUS COLABORADOR]],IF(D259&lt;TODAY(),"VENCIDO",IF(D259=TODAY(),"ULTIMO DIA DE CONTRATO",)))))))),"")</f>
        <v/>
      </c>
    </row>
    <row r="260" spans="1:11" x14ac:dyDescent="0.25">
      <c r="A260" s="4"/>
      <c r="B260" s="4"/>
      <c r="C260" s="5"/>
      <c r="D260" s="6"/>
      <c r="E260" s="4"/>
      <c r="F260" s="4"/>
      <c r="G260" s="5"/>
      <c r="H260" s="19" t="str">
        <f>IF(Tabela2[[#This Row],[REALIZAÇÃO DO ASO]]="","",Tabela2[[#This Row],[REALIZAÇÃO DO ASO]]+365)</f>
        <v/>
      </c>
      <c r="I26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COLABORADOR]]="AFASTADO","AFASTADO",IF(D260&gt;TODAY(),_xlfn.DAYS(D260,TODAY())&amp;" Dia(s) Restante do "&amp;Tabela2[[#This Row],[STATUS COLABORADOR]],IF(D260&lt;TODAY(),"VENCIDO",IF(D260=TODAY(),"ULTIMO DIA DE CONTRATO",)))))))),"")</f>
        <v/>
      </c>
    </row>
    <row r="261" spans="1:11" x14ac:dyDescent="0.25">
      <c r="A261" s="4"/>
      <c r="B261" s="4"/>
      <c r="C261" s="5"/>
      <c r="D261" s="6"/>
      <c r="E261" s="4"/>
      <c r="F261" s="4"/>
      <c r="G261" s="5"/>
      <c r="H261" s="19" t="str">
        <f>IF(Tabela2[[#This Row],[REALIZAÇÃO DO ASO]]="","",Tabela2[[#This Row],[REALIZAÇÃO DO ASO]]+365)</f>
        <v/>
      </c>
      <c r="I26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COLABORADOR]]="AFASTADO","AFASTADO",IF(D261&gt;TODAY(),_xlfn.DAYS(D261,TODAY())&amp;" Dia(s) Restante do "&amp;Tabela2[[#This Row],[STATUS COLABORADOR]],IF(D261&lt;TODAY(),"VENCIDO",IF(D261=TODAY(),"ULTIMO DIA DE CONTRATO",)))))))),"")</f>
        <v/>
      </c>
    </row>
    <row r="262" spans="1:11" x14ac:dyDescent="0.25">
      <c r="A262" s="4"/>
      <c r="B262" s="4"/>
      <c r="C262" s="5"/>
      <c r="D262" s="6"/>
      <c r="E262" s="4"/>
      <c r="F262" s="4"/>
      <c r="G262" s="5"/>
      <c r="H262" s="19" t="str">
        <f>IF(Tabela2[[#This Row],[REALIZAÇÃO DO ASO]]="","",Tabela2[[#This Row],[REALIZAÇÃO DO ASO]]+365)</f>
        <v/>
      </c>
      <c r="I26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COLABORADOR]]="AFASTADO","AFASTADO",IF(D262&gt;TODAY(),_xlfn.DAYS(D262,TODAY())&amp;" Dia(s) Restante do "&amp;Tabela2[[#This Row],[STATUS COLABORADOR]],IF(D262&lt;TODAY(),"VENCIDO",IF(D262=TODAY(),"ULTIMO DIA DE CONTRATO",)))))))),"")</f>
        <v/>
      </c>
    </row>
    <row r="263" spans="1:11" x14ac:dyDescent="0.25">
      <c r="A263" s="4"/>
      <c r="B263" s="4"/>
      <c r="C263" s="5"/>
      <c r="D263" s="6"/>
      <c r="E263" s="4"/>
      <c r="F263" s="4"/>
      <c r="G263" s="5"/>
      <c r="H263" s="19" t="str">
        <f>IF(Tabela2[[#This Row],[REALIZAÇÃO DO ASO]]="","",Tabela2[[#This Row],[REALIZAÇÃO DO ASO]]+365)</f>
        <v/>
      </c>
      <c r="I26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COLABORADOR]]="AFASTADO","AFASTADO",IF(D263&gt;TODAY(),_xlfn.DAYS(D263,TODAY())&amp;" Dia(s) Restante do "&amp;Tabela2[[#This Row],[STATUS COLABORADOR]],IF(D263&lt;TODAY(),"VENCIDO",IF(D263=TODAY(),"ULTIMO DIA DE CONTRATO",)))))))),"")</f>
        <v/>
      </c>
    </row>
    <row r="264" spans="1:11" x14ac:dyDescent="0.25">
      <c r="A264" s="4"/>
      <c r="B264" s="4"/>
      <c r="C264" s="5"/>
      <c r="D264" s="6"/>
      <c r="E264" s="4"/>
      <c r="F264" s="4"/>
      <c r="G264" s="5"/>
      <c r="H264" s="19" t="str">
        <f>IF(Tabela2[[#This Row],[REALIZAÇÃO DO ASO]]="","",Tabela2[[#This Row],[REALIZAÇÃO DO ASO]]+365)</f>
        <v/>
      </c>
      <c r="I26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COLABORADOR]]="AFASTADO","AFASTADO",IF(D264&gt;TODAY(),_xlfn.DAYS(D264,TODAY())&amp;" Dia(s) Restante do "&amp;Tabela2[[#This Row],[STATUS COLABORADOR]],IF(D264&lt;TODAY(),"VENCIDO",IF(D264=TODAY(),"ULTIMO DIA DE CONTRATO",)))))))),"")</f>
        <v/>
      </c>
    </row>
    <row r="265" spans="1:11" x14ac:dyDescent="0.25">
      <c r="A265" s="4"/>
      <c r="B265" s="4"/>
      <c r="C265" s="5"/>
      <c r="D265" s="6"/>
      <c r="E265" s="4"/>
      <c r="F265" s="4"/>
      <c r="G265" s="5"/>
      <c r="H265" s="19" t="str">
        <f>IF(Tabela2[[#This Row],[REALIZAÇÃO DO ASO]]="","",Tabela2[[#This Row],[REALIZAÇÃO DO ASO]]+365)</f>
        <v/>
      </c>
      <c r="I26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COLABORADOR]]="AFASTADO","AFASTADO",IF(D265&gt;TODAY(),_xlfn.DAYS(D265,TODAY())&amp;" Dia(s) Restante do "&amp;Tabela2[[#This Row],[STATUS COLABORADOR]],IF(D265&lt;TODAY(),"VENCIDO",IF(D265=TODAY(),"ULTIMO DIA DE CONTRATO",)))))))),"")</f>
        <v/>
      </c>
    </row>
    <row r="266" spans="1:11" x14ac:dyDescent="0.25">
      <c r="A266" s="4"/>
      <c r="B266" s="4"/>
      <c r="C266" s="5"/>
      <c r="D266" s="6"/>
      <c r="E266" s="4"/>
      <c r="F266" s="4"/>
      <c r="G266" s="5"/>
      <c r="H266" s="19" t="str">
        <f>IF(Tabela2[[#This Row],[REALIZAÇÃO DO ASO]]="","",Tabela2[[#This Row],[REALIZAÇÃO DO ASO]]+365)</f>
        <v/>
      </c>
      <c r="I26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COLABORADOR]]="AFASTADO","AFASTADO",IF(D266&gt;TODAY(),_xlfn.DAYS(D266,TODAY())&amp;" Dia(s) Restante do "&amp;Tabela2[[#This Row],[STATUS COLABORADOR]],IF(D266&lt;TODAY(),"VENCIDO",IF(D266=TODAY(),"ULTIMO DIA DE CONTRATO",)))))))),"")</f>
        <v/>
      </c>
    </row>
    <row r="267" spans="1:11" x14ac:dyDescent="0.25">
      <c r="A267" s="4"/>
      <c r="B267" s="4"/>
      <c r="C267" s="5"/>
      <c r="D267" s="6"/>
      <c r="E267" s="4"/>
      <c r="F267" s="4"/>
      <c r="G267" s="5"/>
      <c r="H267" s="19" t="str">
        <f>IF(Tabela2[[#This Row],[REALIZAÇÃO DO ASO]]="","",Tabela2[[#This Row],[REALIZAÇÃO DO ASO]]+365)</f>
        <v/>
      </c>
      <c r="I26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COLABORADOR]]="AFASTADO","AFASTADO",IF(D267&gt;TODAY(),_xlfn.DAYS(D267,TODAY())&amp;" Dia(s) Restante do "&amp;Tabela2[[#This Row],[STATUS COLABORADOR]],IF(D267&lt;TODAY(),"VENCIDO",IF(D267=TODAY(),"ULTIMO DIA DE CONTRATO",)))))))),"")</f>
        <v/>
      </c>
    </row>
    <row r="268" spans="1:11" x14ac:dyDescent="0.25">
      <c r="A268" s="4"/>
      <c r="B268" s="4"/>
      <c r="C268" s="5"/>
      <c r="D268" s="6"/>
      <c r="E268" s="4"/>
      <c r="F268" s="4"/>
      <c r="G268" s="5"/>
      <c r="H268" s="19" t="str">
        <f>IF(Tabela2[[#This Row],[REALIZAÇÃO DO ASO]]="","",Tabela2[[#This Row],[REALIZAÇÃO DO ASO]]+365)</f>
        <v/>
      </c>
      <c r="I26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COLABORADOR]]="AFASTADO","AFASTADO",IF(D268&gt;TODAY(),_xlfn.DAYS(D268,TODAY())&amp;" Dia(s) Restante do "&amp;Tabela2[[#This Row],[STATUS COLABORADOR]],IF(D268&lt;TODAY(),"VENCIDO",IF(D268=TODAY(),"ULTIMO DIA DE CONTRATO",)))))))),"")</f>
        <v/>
      </c>
    </row>
    <row r="269" spans="1:11" x14ac:dyDescent="0.25">
      <c r="A269" s="4"/>
      <c r="B269" s="4"/>
      <c r="C269" s="5"/>
      <c r="D269" s="6"/>
      <c r="E269" s="4"/>
      <c r="F269" s="4"/>
      <c r="G269" s="5"/>
      <c r="H269" s="19" t="str">
        <f>IF(Tabela2[[#This Row],[REALIZAÇÃO DO ASO]]="","",Tabela2[[#This Row],[REALIZAÇÃO DO ASO]]+365)</f>
        <v/>
      </c>
      <c r="I26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6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6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COLABORADOR]]="AFASTADO","AFASTADO",IF(D269&gt;TODAY(),_xlfn.DAYS(D269,TODAY())&amp;" Dia(s) Restante do "&amp;Tabela2[[#This Row],[STATUS COLABORADOR]],IF(D269&lt;TODAY(),"VENCIDO",IF(D269=TODAY(),"ULTIMO DIA DE CONTRATO",)))))))),"")</f>
        <v/>
      </c>
    </row>
    <row r="270" spans="1:11" x14ac:dyDescent="0.25">
      <c r="A270" s="4"/>
      <c r="B270" s="4"/>
      <c r="C270" s="5"/>
      <c r="D270" s="6"/>
      <c r="E270" s="4"/>
      <c r="F270" s="4"/>
      <c r="G270" s="5"/>
      <c r="H270" s="19" t="str">
        <f>IF(Tabela2[[#This Row],[REALIZAÇÃO DO ASO]]="","",Tabela2[[#This Row],[REALIZAÇÃO DO ASO]]+365)</f>
        <v/>
      </c>
      <c r="I27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COLABORADOR]]="AFASTADO","AFASTADO",IF(D270&gt;TODAY(),_xlfn.DAYS(D270,TODAY())&amp;" Dia(s) Restante do "&amp;Tabela2[[#This Row],[STATUS COLABORADOR]],IF(D270&lt;TODAY(),"VENCIDO",IF(D270=TODAY(),"ULTIMO DIA DE CONTRATO",)))))))),"")</f>
        <v/>
      </c>
    </row>
    <row r="271" spans="1:11" x14ac:dyDescent="0.25">
      <c r="A271" s="4"/>
      <c r="B271" s="4"/>
      <c r="C271" s="5"/>
      <c r="D271" s="6"/>
      <c r="E271" s="4"/>
      <c r="F271" s="4"/>
      <c r="G271" s="5"/>
      <c r="H271" s="19" t="str">
        <f>IF(Tabela2[[#This Row],[REALIZAÇÃO DO ASO]]="","",Tabela2[[#This Row],[REALIZAÇÃO DO ASO]]+365)</f>
        <v/>
      </c>
      <c r="I27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COLABORADOR]]="AFASTADO","AFASTADO",IF(D271&gt;TODAY(),_xlfn.DAYS(D271,TODAY())&amp;" Dia(s) Restante do "&amp;Tabela2[[#This Row],[STATUS COLABORADOR]],IF(D271&lt;TODAY(),"VENCIDO",IF(D271=TODAY(),"ULTIMO DIA DE CONTRATO",)))))))),"")</f>
        <v/>
      </c>
    </row>
    <row r="272" spans="1:11" x14ac:dyDescent="0.25">
      <c r="A272" s="4"/>
      <c r="B272" s="4"/>
      <c r="C272" s="5"/>
      <c r="D272" s="6"/>
      <c r="E272" s="4"/>
      <c r="F272" s="4"/>
      <c r="G272" s="5"/>
      <c r="H272" s="19" t="str">
        <f>IF(Tabela2[[#This Row],[REALIZAÇÃO DO ASO]]="","",Tabela2[[#This Row],[REALIZAÇÃO DO ASO]]+365)</f>
        <v/>
      </c>
      <c r="I27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COLABORADOR]]="AFASTADO","AFASTADO",IF(D272&gt;TODAY(),_xlfn.DAYS(D272,TODAY())&amp;" Dia(s) Restante do "&amp;Tabela2[[#This Row],[STATUS COLABORADOR]],IF(D272&lt;TODAY(),"VENCIDO",IF(D272=TODAY(),"ULTIMO DIA DE CONTRATO",)))))))),"")</f>
        <v/>
      </c>
    </row>
    <row r="273" spans="1:11" x14ac:dyDescent="0.25">
      <c r="A273" s="4"/>
      <c r="B273" s="4"/>
      <c r="C273" s="5"/>
      <c r="D273" s="6"/>
      <c r="E273" s="4"/>
      <c r="F273" s="4"/>
      <c r="G273" s="5"/>
      <c r="H273" s="19" t="str">
        <f>IF(Tabela2[[#This Row],[REALIZAÇÃO DO ASO]]="","",Tabela2[[#This Row],[REALIZAÇÃO DO ASO]]+365)</f>
        <v/>
      </c>
      <c r="I27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COLABORADOR]]="AFASTADO","AFASTADO",IF(D273&gt;TODAY(),_xlfn.DAYS(D273,TODAY())&amp;" Dia(s) Restante do "&amp;Tabela2[[#This Row],[STATUS COLABORADOR]],IF(D273&lt;TODAY(),"VENCIDO",IF(D273=TODAY(),"ULTIMO DIA DE CONTRATO",)))))))),"")</f>
        <v/>
      </c>
    </row>
    <row r="274" spans="1:11" x14ac:dyDescent="0.25">
      <c r="A274" s="4"/>
      <c r="B274" s="4"/>
      <c r="C274" s="5"/>
      <c r="D274" s="6"/>
      <c r="E274" s="4"/>
      <c r="F274" s="4"/>
      <c r="G274" s="5"/>
      <c r="H274" s="19" t="str">
        <f>IF(Tabela2[[#This Row],[REALIZAÇÃO DO ASO]]="","",Tabela2[[#This Row],[REALIZAÇÃO DO ASO]]+365)</f>
        <v/>
      </c>
      <c r="I27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COLABORADOR]]="AFASTADO","AFASTADO",IF(D274&gt;TODAY(),_xlfn.DAYS(D274,TODAY())&amp;" Dia(s) Restante do "&amp;Tabela2[[#This Row],[STATUS COLABORADOR]],IF(D274&lt;TODAY(),"VENCIDO",IF(D274=TODAY(),"ULTIMO DIA DE CONTRATO",)))))))),"")</f>
        <v/>
      </c>
    </row>
    <row r="275" spans="1:11" x14ac:dyDescent="0.25">
      <c r="A275" s="4"/>
      <c r="B275" s="4"/>
      <c r="C275" s="5"/>
      <c r="D275" s="6"/>
      <c r="E275" s="4"/>
      <c r="F275" s="4"/>
      <c r="G275" s="5"/>
      <c r="H275" s="19" t="str">
        <f>IF(Tabela2[[#This Row],[REALIZAÇÃO DO ASO]]="","",Tabela2[[#This Row],[REALIZAÇÃO DO ASO]]+365)</f>
        <v/>
      </c>
      <c r="I27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COLABORADOR]]="AFASTADO","AFASTADO",IF(D275&gt;TODAY(),_xlfn.DAYS(D275,TODAY())&amp;" Dia(s) Restante do "&amp;Tabela2[[#This Row],[STATUS COLABORADOR]],IF(D275&lt;TODAY(),"VENCIDO",IF(D275=TODAY(),"ULTIMO DIA DE CONTRATO",)))))))),"")</f>
        <v/>
      </c>
    </row>
    <row r="276" spans="1:11" x14ac:dyDescent="0.25">
      <c r="A276" s="4"/>
      <c r="B276" s="4"/>
      <c r="C276" s="5"/>
      <c r="D276" s="6"/>
      <c r="E276" s="4"/>
      <c r="F276" s="4"/>
      <c r="G276" s="5"/>
      <c r="H276" s="19" t="str">
        <f>IF(Tabela2[[#This Row],[REALIZAÇÃO DO ASO]]="","",Tabela2[[#This Row],[REALIZAÇÃO DO ASO]]+365)</f>
        <v/>
      </c>
      <c r="I27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COLABORADOR]]="AFASTADO","AFASTADO",IF(D276&gt;TODAY(),_xlfn.DAYS(D276,TODAY())&amp;" Dia(s) Restante do "&amp;Tabela2[[#This Row],[STATUS COLABORADOR]],IF(D276&lt;TODAY(),"VENCIDO",IF(D276=TODAY(),"ULTIMO DIA DE CONTRATO",)))))))),"")</f>
        <v/>
      </c>
    </row>
    <row r="277" spans="1:11" x14ac:dyDescent="0.25">
      <c r="A277" s="4"/>
      <c r="B277" s="4"/>
      <c r="C277" s="5"/>
      <c r="D277" s="6"/>
      <c r="E277" s="4"/>
      <c r="F277" s="4"/>
      <c r="G277" s="5"/>
      <c r="H277" s="19" t="str">
        <f>IF(Tabela2[[#This Row],[REALIZAÇÃO DO ASO]]="","",Tabela2[[#This Row],[REALIZAÇÃO DO ASO]]+365)</f>
        <v/>
      </c>
      <c r="I27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COLABORADOR]]="AFASTADO","AFASTADO",IF(D277&gt;TODAY(),_xlfn.DAYS(D277,TODAY())&amp;" Dia(s) Restante do "&amp;Tabela2[[#This Row],[STATUS COLABORADOR]],IF(D277&lt;TODAY(),"VENCIDO",IF(D277=TODAY(),"ULTIMO DIA DE CONTRATO",)))))))),"")</f>
        <v/>
      </c>
    </row>
    <row r="278" spans="1:11" x14ac:dyDescent="0.25">
      <c r="A278" s="4"/>
      <c r="B278" s="4"/>
      <c r="C278" s="5"/>
      <c r="D278" s="6"/>
      <c r="E278" s="4"/>
      <c r="F278" s="4"/>
      <c r="G278" s="5"/>
      <c r="H278" s="19" t="str">
        <f>IF(Tabela2[[#This Row],[REALIZAÇÃO DO ASO]]="","",Tabela2[[#This Row],[REALIZAÇÃO DO ASO]]+365)</f>
        <v/>
      </c>
      <c r="I27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COLABORADOR]]="AFASTADO","AFASTADO",IF(D278&gt;TODAY(),_xlfn.DAYS(D278,TODAY())&amp;" Dia(s) Restante do "&amp;Tabela2[[#This Row],[STATUS COLABORADOR]],IF(D278&lt;TODAY(),"VENCIDO",IF(D278=TODAY(),"ULTIMO DIA DE CONTRATO",)))))))),"")</f>
        <v/>
      </c>
    </row>
    <row r="279" spans="1:11" x14ac:dyDescent="0.25">
      <c r="A279" s="4"/>
      <c r="B279" s="4"/>
      <c r="C279" s="5"/>
      <c r="D279" s="6"/>
      <c r="E279" s="4"/>
      <c r="F279" s="4"/>
      <c r="G279" s="5"/>
      <c r="H279" s="19" t="str">
        <f>IF(Tabela2[[#This Row],[REALIZAÇÃO DO ASO]]="","",Tabela2[[#This Row],[REALIZAÇÃO DO ASO]]+365)</f>
        <v/>
      </c>
      <c r="I27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7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7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COLABORADOR]]="AFASTADO","AFASTADO",IF(D279&gt;TODAY(),_xlfn.DAYS(D279,TODAY())&amp;" Dia(s) Restante do "&amp;Tabela2[[#This Row],[STATUS COLABORADOR]],IF(D279&lt;TODAY(),"VENCIDO",IF(D279=TODAY(),"ULTIMO DIA DE CONTRATO",)))))))),"")</f>
        <v/>
      </c>
    </row>
    <row r="280" spans="1:11" x14ac:dyDescent="0.25">
      <c r="A280" s="4"/>
      <c r="B280" s="4"/>
      <c r="C280" s="5"/>
      <c r="D280" s="6"/>
      <c r="E280" s="4"/>
      <c r="F280" s="4"/>
      <c r="G280" s="5"/>
      <c r="H280" s="19" t="str">
        <f>IF(Tabela2[[#This Row],[REALIZAÇÃO DO ASO]]="","",Tabela2[[#This Row],[REALIZAÇÃO DO ASO]]+365)</f>
        <v/>
      </c>
      <c r="I28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COLABORADOR]]="AFASTADO","AFASTADO",IF(D280&gt;TODAY(),_xlfn.DAYS(D280,TODAY())&amp;" Dia(s) Restante do "&amp;Tabela2[[#This Row],[STATUS COLABORADOR]],IF(D280&lt;TODAY(),"VENCIDO",IF(D280=TODAY(),"ULTIMO DIA DE CONTRATO",)))))))),"")</f>
        <v/>
      </c>
    </row>
    <row r="281" spans="1:11" x14ac:dyDescent="0.25">
      <c r="A281" s="4"/>
      <c r="B281" s="4"/>
      <c r="C281" s="5"/>
      <c r="D281" s="6"/>
      <c r="E281" s="4"/>
      <c r="F281" s="4"/>
      <c r="G281" s="5"/>
      <c r="H281" s="19" t="str">
        <f>IF(Tabela2[[#This Row],[REALIZAÇÃO DO ASO]]="","",Tabela2[[#This Row],[REALIZAÇÃO DO ASO]]+365)</f>
        <v/>
      </c>
      <c r="I28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COLABORADOR]]="AFASTADO","AFASTADO",IF(D281&gt;TODAY(),_xlfn.DAYS(D281,TODAY())&amp;" Dia(s) Restante do "&amp;Tabela2[[#This Row],[STATUS COLABORADOR]],IF(D281&lt;TODAY(),"VENCIDO",IF(D281=TODAY(),"ULTIMO DIA DE CONTRATO",)))))))),"")</f>
        <v/>
      </c>
    </row>
    <row r="282" spans="1:11" x14ac:dyDescent="0.25">
      <c r="A282" s="4"/>
      <c r="B282" s="4"/>
      <c r="C282" s="5"/>
      <c r="D282" s="6"/>
      <c r="E282" s="4"/>
      <c r="F282" s="4"/>
      <c r="G282" s="5"/>
      <c r="H282" s="19" t="str">
        <f>IF(Tabela2[[#This Row],[REALIZAÇÃO DO ASO]]="","",Tabela2[[#This Row],[REALIZAÇÃO DO ASO]]+365)</f>
        <v/>
      </c>
      <c r="I28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COLABORADOR]]="AFASTADO","AFASTADO",IF(D282&gt;TODAY(),_xlfn.DAYS(D282,TODAY())&amp;" Dia(s) Restante do "&amp;Tabela2[[#This Row],[STATUS COLABORADOR]],IF(D282&lt;TODAY(),"VENCIDO",IF(D282=TODAY(),"ULTIMO DIA DE CONTRATO",)))))))),"")</f>
        <v/>
      </c>
    </row>
    <row r="283" spans="1:11" x14ac:dyDescent="0.25">
      <c r="A283" s="4"/>
      <c r="B283" s="4"/>
      <c r="C283" s="5"/>
      <c r="D283" s="6"/>
      <c r="E283" s="4"/>
      <c r="F283" s="4"/>
      <c r="G283" s="5"/>
      <c r="H283" s="19" t="str">
        <f>IF(Tabela2[[#This Row],[REALIZAÇÃO DO ASO]]="","",Tabela2[[#This Row],[REALIZAÇÃO DO ASO]]+365)</f>
        <v/>
      </c>
      <c r="I28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COLABORADOR]]="AFASTADO","AFASTADO",IF(D283&gt;TODAY(),_xlfn.DAYS(D283,TODAY())&amp;" Dia(s) Restante do "&amp;Tabela2[[#This Row],[STATUS COLABORADOR]],IF(D283&lt;TODAY(),"VENCIDO",IF(D283=TODAY(),"ULTIMO DIA DE CONTRATO",)))))))),"")</f>
        <v/>
      </c>
    </row>
    <row r="284" spans="1:11" x14ac:dyDescent="0.25">
      <c r="A284" s="4"/>
      <c r="B284" s="4"/>
      <c r="C284" s="5"/>
      <c r="D284" s="6"/>
      <c r="E284" s="4"/>
      <c r="F284" s="4"/>
      <c r="G284" s="5"/>
      <c r="H284" s="19" t="str">
        <f>IF(Tabela2[[#This Row],[REALIZAÇÃO DO ASO]]="","",Tabela2[[#This Row],[REALIZAÇÃO DO ASO]]+365)</f>
        <v/>
      </c>
      <c r="I28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COLABORADOR]]="AFASTADO","AFASTADO",IF(D284&gt;TODAY(),_xlfn.DAYS(D284,TODAY())&amp;" Dia(s) Restante do "&amp;Tabela2[[#This Row],[STATUS COLABORADOR]],IF(D284&lt;TODAY(),"VENCIDO",IF(D284=TODAY(),"ULTIMO DIA DE CONTRATO",)))))))),"")</f>
        <v/>
      </c>
    </row>
    <row r="285" spans="1:11" x14ac:dyDescent="0.25">
      <c r="A285" s="4"/>
      <c r="B285" s="4"/>
      <c r="C285" s="5"/>
      <c r="D285" s="6"/>
      <c r="E285" s="4"/>
      <c r="F285" s="4"/>
      <c r="G285" s="5"/>
      <c r="H285" s="19" t="str">
        <f>IF(Tabela2[[#This Row],[REALIZAÇÃO DO ASO]]="","",Tabela2[[#This Row],[REALIZAÇÃO DO ASO]]+365)</f>
        <v/>
      </c>
      <c r="I28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COLABORADOR]]="AFASTADO","AFASTADO",IF(D285&gt;TODAY(),_xlfn.DAYS(D285,TODAY())&amp;" Dia(s) Restante do "&amp;Tabela2[[#This Row],[STATUS COLABORADOR]],IF(D285&lt;TODAY(),"VENCIDO",IF(D285=TODAY(),"ULTIMO DIA DE CONTRATO",)))))))),"")</f>
        <v/>
      </c>
    </row>
    <row r="286" spans="1:11" x14ac:dyDescent="0.25">
      <c r="A286" s="4"/>
      <c r="B286" s="4"/>
      <c r="C286" s="5"/>
      <c r="D286" s="6"/>
      <c r="E286" s="4"/>
      <c r="F286" s="4"/>
      <c r="G286" s="5"/>
      <c r="H286" s="19" t="str">
        <f>IF(Tabela2[[#This Row],[REALIZAÇÃO DO ASO]]="","",Tabela2[[#This Row],[REALIZAÇÃO DO ASO]]+365)</f>
        <v/>
      </c>
      <c r="I28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COLABORADOR]]="AFASTADO","AFASTADO",IF(D286&gt;TODAY(),_xlfn.DAYS(D286,TODAY())&amp;" Dia(s) Restante do "&amp;Tabela2[[#This Row],[STATUS COLABORADOR]],IF(D286&lt;TODAY(),"VENCIDO",IF(D286=TODAY(),"ULTIMO DIA DE CONTRATO",)))))))),"")</f>
        <v/>
      </c>
    </row>
    <row r="287" spans="1:11" x14ac:dyDescent="0.25">
      <c r="A287" s="4"/>
      <c r="B287" s="4"/>
      <c r="C287" s="5"/>
      <c r="D287" s="6"/>
      <c r="E287" s="4"/>
      <c r="F287" s="4"/>
      <c r="G287" s="5"/>
      <c r="H287" s="19" t="str">
        <f>IF(Tabela2[[#This Row],[REALIZAÇÃO DO ASO]]="","",Tabela2[[#This Row],[REALIZAÇÃO DO ASO]]+365)</f>
        <v/>
      </c>
      <c r="I28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COLABORADOR]]="AFASTADO","AFASTADO",IF(D287&gt;TODAY(),_xlfn.DAYS(D287,TODAY())&amp;" Dia(s) Restante do "&amp;Tabela2[[#This Row],[STATUS COLABORADOR]],IF(D287&lt;TODAY(),"VENCIDO",IF(D287=TODAY(),"ULTIMO DIA DE CONTRATO",)))))))),"")</f>
        <v/>
      </c>
    </row>
    <row r="288" spans="1:11" x14ac:dyDescent="0.25">
      <c r="A288" s="4"/>
      <c r="B288" s="4"/>
      <c r="C288" s="5"/>
      <c r="D288" s="6"/>
      <c r="E288" s="4"/>
      <c r="F288" s="4"/>
      <c r="G288" s="5"/>
      <c r="H288" s="19" t="str">
        <f>IF(Tabela2[[#This Row],[REALIZAÇÃO DO ASO]]="","",Tabela2[[#This Row],[REALIZAÇÃO DO ASO]]+365)</f>
        <v/>
      </c>
      <c r="I28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COLABORADOR]]="AFASTADO","AFASTADO",IF(D288&gt;TODAY(),_xlfn.DAYS(D288,TODAY())&amp;" Dia(s) Restante do "&amp;Tabela2[[#This Row],[STATUS COLABORADOR]],IF(D288&lt;TODAY(),"VENCIDO",IF(D288=TODAY(),"ULTIMO DIA DE CONTRATO",)))))))),"")</f>
        <v/>
      </c>
    </row>
    <row r="289" spans="1:11" x14ac:dyDescent="0.25">
      <c r="A289" s="4"/>
      <c r="B289" s="4"/>
      <c r="C289" s="5"/>
      <c r="D289" s="6"/>
      <c r="E289" s="4"/>
      <c r="F289" s="4"/>
      <c r="G289" s="5"/>
      <c r="H289" s="19" t="str">
        <f>IF(Tabela2[[#This Row],[REALIZAÇÃO DO ASO]]="","",Tabela2[[#This Row],[REALIZAÇÃO DO ASO]]+365)</f>
        <v/>
      </c>
      <c r="I28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8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8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COLABORADOR]]="AFASTADO","AFASTADO",IF(D289&gt;TODAY(),_xlfn.DAYS(D289,TODAY())&amp;" Dia(s) Restante do "&amp;Tabela2[[#This Row],[STATUS COLABORADOR]],IF(D289&lt;TODAY(),"VENCIDO",IF(D289=TODAY(),"ULTIMO DIA DE CONTRATO",)))))))),"")</f>
        <v/>
      </c>
    </row>
    <row r="290" spans="1:11" x14ac:dyDescent="0.25">
      <c r="A290" s="4"/>
      <c r="B290" s="4"/>
      <c r="C290" s="5"/>
      <c r="D290" s="6"/>
      <c r="E290" s="4"/>
      <c r="F290" s="4"/>
      <c r="G290" s="5"/>
      <c r="H290" s="19" t="str">
        <f>IF(Tabela2[[#This Row],[REALIZAÇÃO DO ASO]]="","",Tabela2[[#This Row],[REALIZAÇÃO DO ASO]]+365)</f>
        <v/>
      </c>
      <c r="I29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COLABORADOR]]="AFASTADO","AFASTADO",IF(D290&gt;TODAY(),_xlfn.DAYS(D290,TODAY())&amp;" Dia(s) Restante do "&amp;Tabela2[[#This Row],[STATUS COLABORADOR]],IF(D290&lt;TODAY(),"VENCIDO",IF(D290=TODAY(),"ULTIMO DIA DE CONTRATO",)))))))),"")</f>
        <v/>
      </c>
    </row>
    <row r="291" spans="1:11" x14ac:dyDescent="0.25">
      <c r="A291" s="4"/>
      <c r="B291" s="4"/>
      <c r="C291" s="5"/>
      <c r="D291" s="6"/>
      <c r="E291" s="4"/>
      <c r="F291" s="4"/>
      <c r="G291" s="5"/>
      <c r="H291" s="19" t="str">
        <f>IF(Tabela2[[#This Row],[REALIZAÇÃO DO ASO]]="","",Tabela2[[#This Row],[REALIZAÇÃO DO ASO]]+365)</f>
        <v/>
      </c>
      <c r="I29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COLABORADOR]]="AFASTADO","AFASTADO",IF(D291&gt;TODAY(),_xlfn.DAYS(D291,TODAY())&amp;" Dia(s) Restante do "&amp;Tabela2[[#This Row],[STATUS COLABORADOR]],IF(D291&lt;TODAY(),"VENCIDO",IF(D291=TODAY(),"ULTIMO DIA DE CONTRATO",)))))))),"")</f>
        <v/>
      </c>
    </row>
    <row r="292" spans="1:11" x14ac:dyDescent="0.25">
      <c r="A292" s="4"/>
      <c r="B292" s="4"/>
      <c r="C292" s="5"/>
      <c r="D292" s="6"/>
      <c r="E292" s="4"/>
      <c r="F292" s="4"/>
      <c r="G292" s="5"/>
      <c r="H292" s="19" t="str">
        <f>IF(Tabela2[[#This Row],[REALIZAÇÃO DO ASO]]="","",Tabela2[[#This Row],[REALIZAÇÃO DO ASO]]+365)</f>
        <v/>
      </c>
      <c r="I29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COLABORADOR]]="AFASTADO","AFASTADO",IF(D292&gt;TODAY(),_xlfn.DAYS(D292,TODAY())&amp;" Dia(s) Restante do "&amp;Tabela2[[#This Row],[STATUS COLABORADOR]],IF(D292&lt;TODAY(),"VENCIDO",IF(D292=TODAY(),"ULTIMO DIA DE CONTRATO",)))))))),"")</f>
        <v/>
      </c>
    </row>
    <row r="293" spans="1:11" x14ac:dyDescent="0.25">
      <c r="A293" s="4"/>
      <c r="B293" s="4"/>
      <c r="C293" s="5"/>
      <c r="D293" s="6"/>
      <c r="E293" s="4"/>
      <c r="F293" s="4"/>
      <c r="G293" s="5"/>
      <c r="H293" s="19" t="str">
        <f>IF(Tabela2[[#This Row],[REALIZAÇÃO DO ASO]]="","",Tabela2[[#This Row],[REALIZAÇÃO DO ASO]]+365)</f>
        <v/>
      </c>
      <c r="I29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COLABORADOR]]="AFASTADO","AFASTADO",IF(D293&gt;TODAY(),_xlfn.DAYS(D293,TODAY())&amp;" Dia(s) Restante do "&amp;Tabela2[[#This Row],[STATUS COLABORADOR]],IF(D293&lt;TODAY(),"VENCIDO",IF(D293=TODAY(),"ULTIMO DIA DE CONTRATO",)))))))),"")</f>
        <v/>
      </c>
    </row>
    <row r="294" spans="1:11" x14ac:dyDescent="0.25">
      <c r="A294" s="4"/>
      <c r="B294" s="4"/>
      <c r="C294" s="5"/>
      <c r="D294" s="6"/>
      <c r="E294" s="4"/>
      <c r="F294" s="4"/>
      <c r="G294" s="5"/>
      <c r="H294" s="19" t="str">
        <f>IF(Tabela2[[#This Row],[REALIZAÇÃO DO ASO]]="","",Tabela2[[#This Row],[REALIZAÇÃO DO ASO]]+365)</f>
        <v/>
      </c>
      <c r="I29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COLABORADOR]]="AFASTADO","AFASTADO",IF(D294&gt;TODAY(),_xlfn.DAYS(D294,TODAY())&amp;" Dia(s) Restante do "&amp;Tabela2[[#This Row],[STATUS COLABORADOR]],IF(D294&lt;TODAY(),"VENCIDO",IF(D294=TODAY(),"ULTIMO DIA DE CONTRATO",)))))))),"")</f>
        <v/>
      </c>
    </row>
    <row r="295" spans="1:11" x14ac:dyDescent="0.25">
      <c r="A295" s="4"/>
      <c r="B295" s="4"/>
      <c r="C295" s="5"/>
      <c r="D295" s="6"/>
      <c r="E295" s="4"/>
      <c r="F295" s="4"/>
      <c r="G295" s="5"/>
      <c r="H295" s="19" t="str">
        <f>IF(Tabela2[[#This Row],[REALIZAÇÃO DO ASO]]="","",Tabela2[[#This Row],[REALIZAÇÃO DO ASO]]+365)</f>
        <v/>
      </c>
      <c r="I29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COLABORADOR]]="AFASTADO","AFASTADO",IF(D295&gt;TODAY(),_xlfn.DAYS(D295,TODAY())&amp;" Dia(s) Restante do "&amp;Tabela2[[#This Row],[STATUS COLABORADOR]],IF(D295&lt;TODAY(),"VENCIDO",IF(D295=TODAY(),"ULTIMO DIA DE CONTRATO",)))))))),"")</f>
        <v/>
      </c>
    </row>
    <row r="296" spans="1:11" x14ac:dyDescent="0.25">
      <c r="A296" s="4"/>
      <c r="B296" s="4"/>
      <c r="C296" s="5"/>
      <c r="D296" s="6"/>
      <c r="E296" s="4"/>
      <c r="F296" s="4"/>
      <c r="G296" s="5"/>
      <c r="H296" s="19" t="str">
        <f>IF(Tabela2[[#This Row],[REALIZAÇÃO DO ASO]]="","",Tabela2[[#This Row],[REALIZAÇÃO DO ASO]]+365)</f>
        <v/>
      </c>
      <c r="I29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COLABORADOR]]="AFASTADO","AFASTADO",IF(D296&gt;TODAY(),_xlfn.DAYS(D296,TODAY())&amp;" Dia(s) Restante do "&amp;Tabela2[[#This Row],[STATUS COLABORADOR]],IF(D296&lt;TODAY(),"VENCIDO",IF(D296=TODAY(),"ULTIMO DIA DE CONTRATO",)))))))),"")</f>
        <v/>
      </c>
    </row>
    <row r="297" spans="1:11" x14ac:dyDescent="0.25">
      <c r="A297" s="4"/>
      <c r="B297" s="4"/>
      <c r="C297" s="5"/>
      <c r="D297" s="6"/>
      <c r="E297" s="4"/>
      <c r="F297" s="4"/>
      <c r="G297" s="5"/>
      <c r="H297" s="19" t="str">
        <f>IF(Tabela2[[#This Row],[REALIZAÇÃO DO ASO]]="","",Tabela2[[#This Row],[REALIZAÇÃO DO ASO]]+365)</f>
        <v/>
      </c>
      <c r="I29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COLABORADOR]]="AFASTADO","AFASTADO",IF(D297&gt;TODAY(),_xlfn.DAYS(D297,TODAY())&amp;" Dia(s) Restante do "&amp;Tabela2[[#This Row],[STATUS COLABORADOR]],IF(D297&lt;TODAY(),"VENCIDO",IF(D297=TODAY(),"ULTIMO DIA DE CONTRATO",)))))))),"")</f>
        <v/>
      </c>
    </row>
    <row r="298" spans="1:11" x14ac:dyDescent="0.25">
      <c r="A298" s="4"/>
      <c r="B298" s="4"/>
      <c r="C298" s="5"/>
      <c r="D298" s="6"/>
      <c r="E298" s="4"/>
      <c r="F298" s="4"/>
      <c r="G298" s="5"/>
      <c r="H298" s="19" t="str">
        <f>IF(Tabela2[[#This Row],[REALIZAÇÃO DO ASO]]="","",Tabela2[[#This Row],[REALIZAÇÃO DO ASO]]+365)</f>
        <v/>
      </c>
      <c r="I29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COLABORADOR]]="AFASTADO","AFASTADO",IF(D298&gt;TODAY(),_xlfn.DAYS(D298,TODAY())&amp;" Dia(s) Restante do "&amp;Tabela2[[#This Row],[STATUS COLABORADOR]],IF(D298&lt;TODAY(),"VENCIDO",IF(D298=TODAY(),"ULTIMO DIA DE CONTRATO",)))))))),"")</f>
        <v/>
      </c>
    </row>
    <row r="299" spans="1:11" x14ac:dyDescent="0.25">
      <c r="A299" s="4"/>
      <c r="B299" s="4"/>
      <c r="C299" s="5"/>
      <c r="D299" s="6"/>
      <c r="E299" s="4"/>
      <c r="F299" s="4"/>
      <c r="G299" s="5"/>
      <c r="H299" s="19" t="str">
        <f>IF(Tabela2[[#This Row],[REALIZAÇÃO DO ASO]]="","",Tabela2[[#This Row],[REALIZAÇÃO DO ASO]]+365)</f>
        <v/>
      </c>
      <c r="I29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29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29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COLABORADOR]]="AFASTADO","AFASTADO",IF(D299&gt;TODAY(),_xlfn.DAYS(D299,TODAY())&amp;" Dia(s) Restante do "&amp;Tabela2[[#This Row],[STATUS COLABORADOR]],IF(D299&lt;TODAY(),"VENCIDO",IF(D299=TODAY(),"ULTIMO DIA DE CONTRATO",)))))))),"")</f>
        <v/>
      </c>
    </row>
    <row r="300" spans="1:11" x14ac:dyDescent="0.25">
      <c r="A300" s="4"/>
      <c r="B300" s="4"/>
      <c r="C300" s="5"/>
      <c r="D300" s="6"/>
      <c r="E300" s="4"/>
      <c r="F300" s="4"/>
      <c r="G300" s="5"/>
      <c r="H300" s="19" t="str">
        <f>IF(Tabela2[[#This Row],[REALIZAÇÃO DO ASO]]="","",Tabela2[[#This Row],[REALIZAÇÃO DO ASO]]+365)</f>
        <v/>
      </c>
      <c r="I30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COLABORADOR]]="AFASTADO","AFASTADO",IF(D300&gt;TODAY(),_xlfn.DAYS(D300,TODAY())&amp;" Dia(s) Restante do "&amp;Tabela2[[#This Row],[STATUS COLABORADOR]],IF(D300&lt;TODAY(),"VENCIDO",IF(D300=TODAY(),"ULTIMO DIA DE CONTRATO",)))))))),"")</f>
        <v/>
      </c>
    </row>
    <row r="301" spans="1:11" x14ac:dyDescent="0.25">
      <c r="A301" s="4"/>
      <c r="B301" s="4"/>
      <c r="C301" s="5"/>
      <c r="D301" s="6"/>
      <c r="E301" s="4"/>
      <c r="F301" s="4"/>
      <c r="G301" s="5"/>
      <c r="H301" s="19" t="str">
        <f>IF(Tabela2[[#This Row],[REALIZAÇÃO DO ASO]]="","",Tabela2[[#This Row],[REALIZAÇÃO DO ASO]]+365)</f>
        <v/>
      </c>
      <c r="I30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COLABORADOR]]="AFASTADO","AFASTADO",IF(D301&gt;TODAY(),_xlfn.DAYS(D301,TODAY())&amp;" Dia(s) Restante do "&amp;Tabela2[[#This Row],[STATUS COLABORADOR]],IF(D301&lt;TODAY(),"VENCIDO",IF(D301=TODAY(),"ULTIMO DIA DE CONTRATO",)))))))),"")</f>
        <v/>
      </c>
    </row>
    <row r="302" spans="1:11" x14ac:dyDescent="0.25">
      <c r="A302" s="4"/>
      <c r="B302" s="4"/>
      <c r="C302" s="5"/>
      <c r="D302" s="6"/>
      <c r="E302" s="4"/>
      <c r="F302" s="4"/>
      <c r="G302" s="5"/>
      <c r="H302" s="19" t="str">
        <f>IF(Tabela2[[#This Row],[REALIZAÇÃO DO ASO]]="","",Tabela2[[#This Row],[REALIZAÇÃO DO ASO]]+365)</f>
        <v/>
      </c>
      <c r="I30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COLABORADOR]]="AFASTADO","AFASTADO",IF(D302&gt;TODAY(),_xlfn.DAYS(D302,TODAY())&amp;" Dia(s) Restante do "&amp;Tabela2[[#This Row],[STATUS COLABORADOR]],IF(D302&lt;TODAY(),"VENCIDO",IF(D302=TODAY(),"ULTIMO DIA DE CONTRATO",)))))))),"")</f>
        <v/>
      </c>
    </row>
    <row r="303" spans="1:11" x14ac:dyDescent="0.25">
      <c r="A303" s="4"/>
      <c r="B303" s="4"/>
      <c r="C303" s="5"/>
      <c r="D303" s="6"/>
      <c r="E303" s="4"/>
      <c r="F303" s="4"/>
      <c r="G303" s="5"/>
      <c r="H303" s="19" t="str">
        <f>IF(Tabela2[[#This Row],[REALIZAÇÃO DO ASO]]="","",Tabela2[[#This Row],[REALIZAÇÃO DO ASO]]+365)</f>
        <v/>
      </c>
      <c r="I30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COLABORADOR]]="AFASTADO","AFASTADO",IF(D303&gt;TODAY(),_xlfn.DAYS(D303,TODAY())&amp;" Dia(s) Restante do "&amp;Tabela2[[#This Row],[STATUS COLABORADOR]],IF(D303&lt;TODAY(),"VENCIDO",IF(D303=TODAY(),"ULTIMO DIA DE CONTRATO",)))))))),"")</f>
        <v/>
      </c>
    </row>
    <row r="304" spans="1:11" x14ac:dyDescent="0.25">
      <c r="A304" s="4"/>
      <c r="B304" s="4"/>
      <c r="C304" s="5"/>
      <c r="D304" s="6"/>
      <c r="E304" s="4"/>
      <c r="F304" s="4"/>
      <c r="G304" s="5"/>
      <c r="H304" s="19" t="str">
        <f>IF(Tabela2[[#This Row],[REALIZAÇÃO DO ASO]]="","",Tabela2[[#This Row],[REALIZAÇÃO DO ASO]]+365)</f>
        <v/>
      </c>
      <c r="I30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COLABORADOR]]="AFASTADO","AFASTADO",IF(D304&gt;TODAY(),_xlfn.DAYS(D304,TODAY())&amp;" Dia(s) Restante do "&amp;Tabela2[[#This Row],[STATUS COLABORADOR]],IF(D304&lt;TODAY(),"VENCIDO",IF(D304=TODAY(),"ULTIMO DIA DE CONTRATO",)))))))),"")</f>
        <v/>
      </c>
    </row>
    <row r="305" spans="1:11" x14ac:dyDescent="0.25">
      <c r="A305" s="4"/>
      <c r="B305" s="4"/>
      <c r="C305" s="5"/>
      <c r="D305" s="6"/>
      <c r="E305" s="4"/>
      <c r="F305" s="4"/>
      <c r="G305" s="5"/>
      <c r="H305" s="19" t="str">
        <f>IF(Tabela2[[#This Row],[REALIZAÇÃO DO ASO]]="","",Tabela2[[#This Row],[REALIZAÇÃO DO ASO]]+365)</f>
        <v/>
      </c>
      <c r="I30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COLABORADOR]]="AFASTADO","AFASTADO",IF(D305&gt;TODAY(),_xlfn.DAYS(D305,TODAY())&amp;" Dia(s) Restante do "&amp;Tabela2[[#This Row],[STATUS COLABORADOR]],IF(D305&lt;TODAY(),"VENCIDO",IF(D305=TODAY(),"ULTIMO DIA DE CONTRATO",)))))))),"")</f>
        <v/>
      </c>
    </row>
    <row r="306" spans="1:11" x14ac:dyDescent="0.25">
      <c r="A306" s="4"/>
      <c r="B306" s="4"/>
      <c r="C306" s="5"/>
      <c r="D306" s="6"/>
      <c r="E306" s="4"/>
      <c r="F306" s="4"/>
      <c r="G306" s="5"/>
      <c r="H306" s="19" t="str">
        <f>IF(Tabela2[[#This Row],[REALIZAÇÃO DO ASO]]="","",Tabela2[[#This Row],[REALIZAÇÃO DO ASO]]+365)</f>
        <v/>
      </c>
      <c r="I30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COLABORADOR]]="AFASTADO","AFASTADO",IF(D306&gt;TODAY(),_xlfn.DAYS(D306,TODAY())&amp;" Dia(s) Restante do "&amp;Tabela2[[#This Row],[STATUS COLABORADOR]],IF(D306&lt;TODAY(),"VENCIDO",IF(D306=TODAY(),"ULTIMO DIA DE CONTRATO",)))))))),"")</f>
        <v/>
      </c>
    </row>
    <row r="307" spans="1:11" x14ac:dyDescent="0.25">
      <c r="A307" s="4"/>
      <c r="B307" s="4"/>
      <c r="C307" s="5"/>
      <c r="D307" s="6"/>
      <c r="E307" s="4"/>
      <c r="F307" s="4"/>
      <c r="G307" s="5"/>
      <c r="H307" s="19" t="str">
        <f>IF(Tabela2[[#This Row],[REALIZAÇÃO DO ASO]]="","",Tabela2[[#This Row],[REALIZAÇÃO DO ASO]]+365)</f>
        <v/>
      </c>
      <c r="I30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COLABORADOR]]="AFASTADO","AFASTADO",IF(D307&gt;TODAY(),_xlfn.DAYS(D307,TODAY())&amp;" Dia(s) Restante do "&amp;Tabela2[[#This Row],[STATUS COLABORADOR]],IF(D307&lt;TODAY(),"VENCIDO",IF(D307=TODAY(),"ULTIMO DIA DE CONTRATO",)))))))),"")</f>
        <v/>
      </c>
    </row>
    <row r="308" spans="1:11" x14ac:dyDescent="0.25">
      <c r="A308" s="4"/>
      <c r="B308" s="4"/>
      <c r="C308" s="5"/>
      <c r="D308" s="6"/>
      <c r="E308" s="4"/>
      <c r="F308" s="4"/>
      <c r="G308" s="5"/>
      <c r="H308" s="19" t="str">
        <f>IF(Tabela2[[#This Row],[REALIZAÇÃO DO ASO]]="","",Tabela2[[#This Row],[REALIZAÇÃO DO ASO]]+365)</f>
        <v/>
      </c>
      <c r="I30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COLABORADOR]]="AFASTADO","AFASTADO",IF(D308&gt;TODAY(),_xlfn.DAYS(D308,TODAY())&amp;" Dia(s) Restante do "&amp;Tabela2[[#This Row],[STATUS COLABORADOR]],IF(D308&lt;TODAY(),"VENCIDO",IF(D308=TODAY(),"ULTIMO DIA DE CONTRATO",)))))))),"")</f>
        <v/>
      </c>
    </row>
    <row r="309" spans="1:11" x14ac:dyDescent="0.25">
      <c r="A309" s="4"/>
      <c r="B309" s="4"/>
      <c r="C309" s="5"/>
      <c r="D309" s="6"/>
      <c r="E309" s="4"/>
      <c r="F309" s="4"/>
      <c r="G309" s="5"/>
      <c r="H309" s="19" t="str">
        <f>IF(Tabela2[[#This Row],[REALIZAÇÃO DO ASO]]="","",Tabela2[[#This Row],[REALIZAÇÃO DO ASO]]+365)</f>
        <v/>
      </c>
      <c r="I30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0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0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COLABORADOR]]="AFASTADO","AFASTADO",IF(D309&gt;TODAY(),_xlfn.DAYS(D309,TODAY())&amp;" Dia(s) Restante do "&amp;Tabela2[[#This Row],[STATUS COLABORADOR]],IF(D309&lt;TODAY(),"VENCIDO",IF(D309=TODAY(),"ULTIMO DIA DE CONTRATO",)))))))),"")</f>
        <v/>
      </c>
    </row>
    <row r="310" spans="1:11" x14ac:dyDescent="0.25">
      <c r="A310" s="4"/>
      <c r="B310" s="4"/>
      <c r="C310" s="5"/>
      <c r="D310" s="6"/>
      <c r="E310" s="4"/>
      <c r="F310" s="4"/>
      <c r="G310" s="5"/>
      <c r="H310" s="19" t="str">
        <f>IF(Tabela2[[#This Row],[REALIZAÇÃO DO ASO]]="","",Tabela2[[#This Row],[REALIZAÇÃO DO ASO]]+365)</f>
        <v/>
      </c>
      <c r="I3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COLABORADOR]]="AFASTADO","AFASTADO",IF(D310&gt;TODAY(),_xlfn.DAYS(D310,TODAY())&amp;" Dia(s) Restante do "&amp;Tabela2[[#This Row],[STATUS COLABORADOR]],IF(D310&lt;TODAY(),"VENCIDO",IF(D310=TODAY(),"ULTIMO DIA DE CONTRATO",)))))))),"")</f>
        <v/>
      </c>
    </row>
    <row r="311" spans="1:11" x14ac:dyDescent="0.25">
      <c r="A311" s="4"/>
      <c r="B311" s="4"/>
      <c r="C311" s="5"/>
      <c r="D311" s="6"/>
      <c r="E311" s="4"/>
      <c r="F311" s="4"/>
      <c r="G311" s="5"/>
      <c r="H311" s="19" t="str">
        <f>IF(Tabela2[[#This Row],[REALIZAÇÃO DO ASO]]="","",Tabela2[[#This Row],[REALIZAÇÃO DO ASO]]+365)</f>
        <v/>
      </c>
      <c r="I31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COLABORADOR]]="AFASTADO","AFASTADO",IF(D311&gt;TODAY(),_xlfn.DAYS(D311,TODAY())&amp;" Dia(s) Restante do "&amp;Tabela2[[#This Row],[STATUS COLABORADOR]],IF(D311&lt;TODAY(),"VENCIDO",IF(D311=TODAY(),"ULTIMO DIA DE CONTRATO",)))))))),"")</f>
        <v/>
      </c>
    </row>
    <row r="312" spans="1:11" x14ac:dyDescent="0.25">
      <c r="A312" s="4"/>
      <c r="B312" s="4"/>
      <c r="C312" s="5"/>
      <c r="D312" s="6"/>
      <c r="E312" s="4"/>
      <c r="F312" s="4"/>
      <c r="G312" s="5"/>
      <c r="H312" s="19" t="str">
        <f>IF(Tabela2[[#This Row],[REALIZAÇÃO DO ASO]]="","",Tabela2[[#This Row],[REALIZAÇÃO DO ASO]]+365)</f>
        <v/>
      </c>
      <c r="I31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COLABORADOR]]="AFASTADO","AFASTADO",IF(D312&gt;TODAY(),_xlfn.DAYS(D312,TODAY())&amp;" Dia(s) Restante do "&amp;Tabela2[[#This Row],[STATUS COLABORADOR]],IF(D312&lt;TODAY(),"VENCIDO",IF(D312=TODAY(),"ULTIMO DIA DE CONTRATO",)))))))),"")</f>
        <v/>
      </c>
    </row>
    <row r="313" spans="1:11" x14ac:dyDescent="0.25">
      <c r="A313" s="4"/>
      <c r="B313" s="4"/>
      <c r="C313" s="5"/>
      <c r="D313" s="6"/>
      <c r="E313" s="4"/>
      <c r="F313" s="4"/>
      <c r="G313" s="5"/>
      <c r="H313" s="19" t="str">
        <f>IF(Tabela2[[#This Row],[REALIZAÇÃO DO ASO]]="","",Tabela2[[#This Row],[REALIZAÇÃO DO ASO]]+365)</f>
        <v/>
      </c>
      <c r="I31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COLABORADOR]]="AFASTADO","AFASTADO",IF(D313&gt;TODAY(),_xlfn.DAYS(D313,TODAY())&amp;" Dia(s) Restante do "&amp;Tabela2[[#This Row],[STATUS COLABORADOR]],IF(D313&lt;TODAY(),"VENCIDO",IF(D313=TODAY(),"ULTIMO DIA DE CONTRATO",)))))))),"")</f>
        <v/>
      </c>
    </row>
    <row r="314" spans="1:11" x14ac:dyDescent="0.25">
      <c r="A314" s="4"/>
      <c r="B314" s="4"/>
      <c r="C314" s="5"/>
      <c r="D314" s="6"/>
      <c r="E314" s="4"/>
      <c r="F314" s="4"/>
      <c r="G314" s="5"/>
      <c r="H314" s="19" t="str">
        <f>IF(Tabela2[[#This Row],[REALIZAÇÃO DO ASO]]="","",Tabela2[[#This Row],[REALIZAÇÃO DO ASO]]+365)</f>
        <v/>
      </c>
      <c r="I31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COLABORADOR]]="AFASTADO","AFASTADO",IF(D314&gt;TODAY(),_xlfn.DAYS(D314,TODAY())&amp;" Dia(s) Restante do "&amp;Tabela2[[#This Row],[STATUS COLABORADOR]],IF(D314&lt;TODAY(),"VENCIDO",IF(D314=TODAY(),"ULTIMO DIA DE CONTRATO",)))))))),"")</f>
        <v/>
      </c>
    </row>
    <row r="315" spans="1:11" x14ac:dyDescent="0.25">
      <c r="A315" s="4"/>
      <c r="B315" s="4"/>
      <c r="C315" s="5"/>
      <c r="D315" s="6"/>
      <c r="E315" s="4"/>
      <c r="F315" s="4"/>
      <c r="G315" s="5"/>
      <c r="H315" s="19" t="str">
        <f>IF(Tabela2[[#This Row],[REALIZAÇÃO DO ASO]]="","",Tabela2[[#This Row],[REALIZAÇÃO DO ASO]]+365)</f>
        <v/>
      </c>
      <c r="I31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COLABORADOR]]="AFASTADO","AFASTADO",IF(D315&gt;TODAY(),_xlfn.DAYS(D315,TODAY())&amp;" Dia(s) Restante do "&amp;Tabela2[[#This Row],[STATUS COLABORADOR]],IF(D315&lt;TODAY(),"VENCIDO",IF(D315=TODAY(),"ULTIMO DIA DE CONTRATO",)))))))),"")</f>
        <v/>
      </c>
    </row>
    <row r="316" spans="1:11" x14ac:dyDescent="0.25">
      <c r="A316" s="4"/>
      <c r="B316" s="4"/>
      <c r="C316" s="5"/>
      <c r="D316" s="6"/>
      <c r="E316" s="4"/>
      <c r="F316" s="4"/>
      <c r="G316" s="5"/>
      <c r="H316" s="19" t="str">
        <f>IF(Tabela2[[#This Row],[REALIZAÇÃO DO ASO]]="","",Tabela2[[#This Row],[REALIZAÇÃO DO ASO]]+365)</f>
        <v/>
      </c>
      <c r="I31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COLABORADOR]]="AFASTADO","AFASTADO",IF(D316&gt;TODAY(),_xlfn.DAYS(D316,TODAY())&amp;" Dia(s) Restante do "&amp;Tabela2[[#This Row],[STATUS COLABORADOR]],IF(D316&lt;TODAY(),"VENCIDO",IF(D316=TODAY(),"ULTIMO DIA DE CONTRATO",)))))))),"")</f>
        <v/>
      </c>
    </row>
    <row r="317" spans="1:11" x14ac:dyDescent="0.25">
      <c r="A317" s="4"/>
      <c r="B317" s="4"/>
      <c r="C317" s="5"/>
      <c r="D317" s="6"/>
      <c r="E317" s="4"/>
      <c r="F317" s="4"/>
      <c r="G317" s="5"/>
      <c r="H317" s="19" t="str">
        <f>IF(Tabela2[[#This Row],[REALIZAÇÃO DO ASO]]="","",Tabela2[[#This Row],[REALIZAÇÃO DO ASO]]+365)</f>
        <v/>
      </c>
      <c r="I31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COLABORADOR]]="AFASTADO","AFASTADO",IF(D317&gt;TODAY(),_xlfn.DAYS(D317,TODAY())&amp;" Dia(s) Restante do "&amp;Tabela2[[#This Row],[STATUS COLABORADOR]],IF(D317&lt;TODAY(),"VENCIDO",IF(D317=TODAY(),"ULTIMO DIA DE CONTRATO",)))))))),"")</f>
        <v/>
      </c>
    </row>
    <row r="318" spans="1:11" x14ac:dyDescent="0.25">
      <c r="A318" s="4"/>
      <c r="B318" s="4"/>
      <c r="C318" s="5"/>
      <c r="D318" s="6"/>
      <c r="E318" s="4"/>
      <c r="F318" s="4"/>
      <c r="G318" s="5"/>
      <c r="H318" s="19" t="str">
        <f>IF(Tabela2[[#This Row],[REALIZAÇÃO DO ASO]]="","",Tabela2[[#This Row],[REALIZAÇÃO DO ASO]]+365)</f>
        <v/>
      </c>
      <c r="I31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COLABORADOR]]="AFASTADO","AFASTADO",IF(D318&gt;TODAY(),_xlfn.DAYS(D318,TODAY())&amp;" Dia(s) Restante do "&amp;Tabela2[[#This Row],[STATUS COLABORADOR]],IF(D318&lt;TODAY(),"VENCIDO",IF(D318=TODAY(),"ULTIMO DIA DE CONTRATO",)))))))),"")</f>
        <v/>
      </c>
    </row>
    <row r="319" spans="1:11" x14ac:dyDescent="0.25">
      <c r="A319" s="4"/>
      <c r="B319" s="4"/>
      <c r="C319" s="5"/>
      <c r="D319" s="6"/>
      <c r="E319" s="4"/>
      <c r="F319" s="4"/>
      <c r="G319" s="5"/>
      <c r="H319" s="19" t="str">
        <f>IF(Tabela2[[#This Row],[REALIZAÇÃO DO ASO]]="","",Tabela2[[#This Row],[REALIZAÇÃO DO ASO]]+365)</f>
        <v/>
      </c>
      <c r="I31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1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1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COLABORADOR]]="AFASTADO","AFASTADO",IF(D319&gt;TODAY(),_xlfn.DAYS(D319,TODAY())&amp;" Dia(s) Restante do "&amp;Tabela2[[#This Row],[STATUS COLABORADOR]],IF(D319&lt;TODAY(),"VENCIDO",IF(D319=TODAY(),"ULTIMO DIA DE CONTRATO",)))))))),"")</f>
        <v/>
      </c>
    </row>
    <row r="320" spans="1:11" x14ac:dyDescent="0.25">
      <c r="A320" s="4"/>
      <c r="B320" s="4"/>
      <c r="C320" s="5"/>
      <c r="D320" s="6"/>
      <c r="E320" s="4"/>
      <c r="F320" s="4"/>
      <c r="G320" s="5"/>
      <c r="H320" s="19" t="str">
        <f>IF(Tabela2[[#This Row],[REALIZAÇÃO DO ASO]]="","",Tabela2[[#This Row],[REALIZAÇÃO DO ASO]]+365)</f>
        <v/>
      </c>
      <c r="I32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COLABORADOR]]="AFASTADO","AFASTADO",IF(D320&gt;TODAY(),_xlfn.DAYS(D320,TODAY())&amp;" Dia(s) Restante do "&amp;Tabela2[[#This Row],[STATUS COLABORADOR]],IF(D320&lt;TODAY(),"VENCIDO",IF(D320=TODAY(),"ULTIMO DIA DE CONTRATO",)))))))),"")</f>
        <v/>
      </c>
    </row>
    <row r="321" spans="1:11" x14ac:dyDescent="0.25">
      <c r="A321" s="4"/>
      <c r="B321" s="4"/>
      <c r="C321" s="5"/>
      <c r="D321" s="6"/>
      <c r="E321" s="4"/>
      <c r="F321" s="4"/>
      <c r="G321" s="5"/>
      <c r="H321" s="19" t="str">
        <f>IF(Tabela2[[#This Row],[REALIZAÇÃO DO ASO]]="","",Tabela2[[#This Row],[REALIZAÇÃO DO ASO]]+365)</f>
        <v/>
      </c>
      <c r="I32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COLABORADOR]]="AFASTADO","AFASTADO",IF(D321&gt;TODAY(),_xlfn.DAYS(D321,TODAY())&amp;" Dia(s) Restante do "&amp;Tabela2[[#This Row],[STATUS COLABORADOR]],IF(D321&lt;TODAY(),"VENCIDO",IF(D321=TODAY(),"ULTIMO DIA DE CONTRATO",)))))))),"")</f>
        <v/>
      </c>
    </row>
    <row r="322" spans="1:11" x14ac:dyDescent="0.25">
      <c r="A322" s="4"/>
      <c r="B322" s="4"/>
      <c r="C322" s="5"/>
      <c r="D322" s="6"/>
      <c r="E322" s="4"/>
      <c r="F322" s="4"/>
      <c r="G322" s="5"/>
      <c r="H322" s="19" t="str">
        <f>IF(Tabela2[[#This Row],[REALIZAÇÃO DO ASO]]="","",Tabela2[[#This Row],[REALIZAÇÃO DO ASO]]+365)</f>
        <v/>
      </c>
      <c r="I32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COLABORADOR]]="AFASTADO","AFASTADO",IF(D322&gt;TODAY(),_xlfn.DAYS(D322,TODAY())&amp;" Dia(s) Restante do "&amp;Tabela2[[#This Row],[STATUS COLABORADOR]],IF(D322&lt;TODAY(),"VENCIDO",IF(D322=TODAY(),"ULTIMO DIA DE CONTRATO",)))))))),"")</f>
        <v/>
      </c>
    </row>
    <row r="323" spans="1:11" x14ac:dyDescent="0.25">
      <c r="A323" s="4"/>
      <c r="B323" s="4"/>
      <c r="C323" s="5"/>
      <c r="D323" s="6"/>
      <c r="E323" s="4"/>
      <c r="F323" s="4"/>
      <c r="G323" s="5"/>
      <c r="H323" s="19" t="str">
        <f>IF(Tabela2[[#This Row],[REALIZAÇÃO DO ASO]]="","",Tabela2[[#This Row],[REALIZAÇÃO DO ASO]]+365)</f>
        <v/>
      </c>
      <c r="I32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COLABORADOR]]="AFASTADO","AFASTADO",IF(D323&gt;TODAY(),_xlfn.DAYS(D323,TODAY())&amp;" Dia(s) Restante do "&amp;Tabela2[[#This Row],[STATUS COLABORADOR]],IF(D323&lt;TODAY(),"VENCIDO",IF(D323=TODAY(),"ULTIMO DIA DE CONTRATO",)))))))),"")</f>
        <v/>
      </c>
    </row>
    <row r="324" spans="1:11" x14ac:dyDescent="0.25">
      <c r="A324" s="4"/>
      <c r="B324" s="4"/>
      <c r="C324" s="5"/>
      <c r="D324" s="6"/>
      <c r="E324" s="4"/>
      <c r="F324" s="4"/>
      <c r="G324" s="5"/>
      <c r="H324" s="19" t="str">
        <f>IF(Tabela2[[#This Row],[REALIZAÇÃO DO ASO]]="","",Tabela2[[#This Row],[REALIZAÇÃO DO ASO]]+365)</f>
        <v/>
      </c>
      <c r="I32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COLABORADOR]]="AFASTADO","AFASTADO",IF(D324&gt;TODAY(),_xlfn.DAYS(D324,TODAY())&amp;" Dia(s) Restante do "&amp;Tabela2[[#This Row],[STATUS COLABORADOR]],IF(D324&lt;TODAY(),"VENCIDO",IF(D324=TODAY(),"ULTIMO DIA DE CONTRATO",)))))))),"")</f>
        <v/>
      </c>
    </row>
    <row r="325" spans="1:11" x14ac:dyDescent="0.25">
      <c r="A325" s="4"/>
      <c r="B325" s="4"/>
      <c r="C325" s="5"/>
      <c r="D325" s="6"/>
      <c r="E325" s="4"/>
      <c r="F325" s="4"/>
      <c r="G325" s="5"/>
      <c r="H325" s="19" t="str">
        <f>IF(Tabela2[[#This Row],[REALIZAÇÃO DO ASO]]="","",Tabela2[[#This Row],[REALIZAÇÃO DO ASO]]+365)</f>
        <v/>
      </c>
      <c r="I32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COLABORADOR]]="AFASTADO","AFASTADO",IF(D325&gt;TODAY(),_xlfn.DAYS(D325,TODAY())&amp;" Dia(s) Restante do "&amp;Tabela2[[#This Row],[STATUS COLABORADOR]],IF(D325&lt;TODAY(),"VENCIDO",IF(D325=TODAY(),"ULTIMO DIA DE CONTRATO",)))))))),"")</f>
        <v/>
      </c>
    </row>
    <row r="326" spans="1:11" x14ac:dyDescent="0.25">
      <c r="A326" s="4"/>
      <c r="B326" s="4"/>
      <c r="C326" s="5"/>
      <c r="D326" s="6"/>
      <c r="E326" s="4"/>
      <c r="F326" s="4"/>
      <c r="G326" s="5"/>
      <c r="H326" s="19" t="str">
        <f>IF(Tabela2[[#This Row],[REALIZAÇÃO DO ASO]]="","",Tabela2[[#This Row],[REALIZAÇÃO DO ASO]]+365)</f>
        <v/>
      </c>
      <c r="I32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COLABORADOR]]="AFASTADO","AFASTADO",IF(D326&gt;TODAY(),_xlfn.DAYS(D326,TODAY())&amp;" Dia(s) Restante do "&amp;Tabela2[[#This Row],[STATUS COLABORADOR]],IF(D326&lt;TODAY(),"VENCIDO",IF(D326=TODAY(),"ULTIMO DIA DE CONTRATO",)))))))),"")</f>
        <v/>
      </c>
    </row>
    <row r="327" spans="1:11" x14ac:dyDescent="0.25">
      <c r="A327" s="4"/>
      <c r="B327" s="4"/>
      <c r="C327" s="5"/>
      <c r="D327" s="6"/>
      <c r="E327" s="4"/>
      <c r="F327" s="4"/>
      <c r="G327" s="5"/>
      <c r="H327" s="19" t="str">
        <f>IF(Tabela2[[#This Row],[REALIZAÇÃO DO ASO]]="","",Tabela2[[#This Row],[REALIZAÇÃO DO ASO]]+365)</f>
        <v/>
      </c>
      <c r="I32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COLABORADOR]]="AFASTADO","AFASTADO",IF(D327&gt;TODAY(),_xlfn.DAYS(D327,TODAY())&amp;" Dia(s) Restante do "&amp;Tabela2[[#This Row],[STATUS COLABORADOR]],IF(D327&lt;TODAY(),"VENCIDO",IF(D327=TODAY(),"ULTIMO DIA DE CONTRATO",)))))))),"")</f>
        <v/>
      </c>
    </row>
    <row r="328" spans="1:11" x14ac:dyDescent="0.25">
      <c r="A328" s="4"/>
      <c r="B328" s="4"/>
      <c r="C328" s="5"/>
      <c r="D328" s="6"/>
      <c r="E328" s="4"/>
      <c r="F328" s="4"/>
      <c r="G328" s="5"/>
      <c r="H328" s="19" t="str">
        <f>IF(Tabela2[[#This Row],[REALIZAÇÃO DO ASO]]="","",Tabela2[[#This Row],[REALIZAÇÃO DO ASO]]+365)</f>
        <v/>
      </c>
      <c r="I32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COLABORADOR]]="AFASTADO","AFASTADO",IF(D328&gt;TODAY(),_xlfn.DAYS(D328,TODAY())&amp;" Dia(s) Restante do "&amp;Tabela2[[#This Row],[STATUS COLABORADOR]],IF(D328&lt;TODAY(),"VENCIDO",IF(D328=TODAY(),"ULTIMO DIA DE CONTRATO",)))))))),"")</f>
        <v/>
      </c>
    </row>
    <row r="329" spans="1:11" x14ac:dyDescent="0.25">
      <c r="A329" s="4"/>
      <c r="B329" s="4"/>
      <c r="C329" s="5"/>
      <c r="D329" s="6"/>
      <c r="E329" s="4"/>
      <c r="F329" s="4"/>
      <c r="G329" s="5"/>
      <c r="H329" s="19" t="str">
        <f>IF(Tabela2[[#This Row],[REALIZAÇÃO DO ASO]]="","",Tabela2[[#This Row],[REALIZAÇÃO DO ASO]]+365)</f>
        <v/>
      </c>
      <c r="I32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2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2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COLABORADOR]]="AFASTADO","AFASTADO",IF(D329&gt;TODAY(),_xlfn.DAYS(D329,TODAY())&amp;" Dia(s) Restante do "&amp;Tabela2[[#This Row],[STATUS COLABORADOR]],IF(D329&lt;TODAY(),"VENCIDO",IF(D329=TODAY(),"ULTIMO DIA DE CONTRATO",)))))))),"")</f>
        <v/>
      </c>
    </row>
    <row r="330" spans="1:11" x14ac:dyDescent="0.25">
      <c r="A330" s="4"/>
      <c r="B330" s="4"/>
      <c r="C330" s="5"/>
      <c r="D330" s="6"/>
      <c r="E330" s="4"/>
      <c r="F330" s="4"/>
      <c r="G330" s="5"/>
      <c r="H330" s="19" t="str">
        <f>IF(Tabela2[[#This Row],[REALIZAÇÃO DO ASO]]="","",Tabela2[[#This Row],[REALIZAÇÃO DO ASO]]+365)</f>
        <v/>
      </c>
      <c r="I33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COLABORADOR]]="AFASTADO","AFASTADO",IF(D330&gt;TODAY(),_xlfn.DAYS(D330,TODAY())&amp;" Dia(s) Restante do "&amp;Tabela2[[#This Row],[STATUS COLABORADOR]],IF(D330&lt;TODAY(),"VENCIDO",IF(D330=TODAY(),"ULTIMO DIA DE CONTRATO",)))))))),"")</f>
        <v/>
      </c>
    </row>
    <row r="331" spans="1:11" x14ac:dyDescent="0.25">
      <c r="A331" s="4"/>
      <c r="B331" s="4"/>
      <c r="C331" s="5"/>
      <c r="D331" s="6"/>
      <c r="E331" s="4"/>
      <c r="F331" s="4"/>
      <c r="G331" s="5"/>
      <c r="H331" s="19" t="str">
        <f>IF(Tabela2[[#This Row],[REALIZAÇÃO DO ASO]]="","",Tabela2[[#This Row],[REALIZAÇÃO DO ASO]]+365)</f>
        <v/>
      </c>
      <c r="I33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COLABORADOR]]="AFASTADO","AFASTADO",IF(D331&gt;TODAY(),_xlfn.DAYS(D331,TODAY())&amp;" Dia(s) Restante do "&amp;Tabela2[[#This Row],[STATUS COLABORADOR]],IF(D331&lt;TODAY(),"VENCIDO",IF(D331=TODAY(),"ULTIMO DIA DE CONTRATO",)))))))),"")</f>
        <v/>
      </c>
    </row>
    <row r="332" spans="1:11" x14ac:dyDescent="0.25">
      <c r="A332" s="4"/>
      <c r="B332" s="4"/>
      <c r="C332" s="5"/>
      <c r="D332" s="6"/>
      <c r="E332" s="4"/>
      <c r="F332" s="4"/>
      <c r="G332" s="5"/>
      <c r="H332" s="19" t="str">
        <f>IF(Tabela2[[#This Row],[REALIZAÇÃO DO ASO]]="","",Tabela2[[#This Row],[REALIZAÇÃO DO ASO]]+365)</f>
        <v/>
      </c>
      <c r="I33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COLABORADOR]]="AFASTADO","AFASTADO",IF(D332&gt;TODAY(),_xlfn.DAYS(D332,TODAY())&amp;" Dia(s) Restante do "&amp;Tabela2[[#This Row],[STATUS COLABORADOR]],IF(D332&lt;TODAY(),"VENCIDO",IF(D332=TODAY(),"ULTIMO DIA DE CONTRATO",)))))))),"")</f>
        <v/>
      </c>
    </row>
    <row r="333" spans="1:11" x14ac:dyDescent="0.25">
      <c r="A333" s="4"/>
      <c r="B333" s="4"/>
      <c r="C333" s="5"/>
      <c r="D333" s="6"/>
      <c r="E333" s="4"/>
      <c r="F333" s="4"/>
      <c r="G333" s="5"/>
      <c r="H333" s="19" t="str">
        <f>IF(Tabela2[[#This Row],[REALIZAÇÃO DO ASO]]="","",Tabela2[[#This Row],[REALIZAÇÃO DO ASO]]+365)</f>
        <v/>
      </c>
      <c r="I33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COLABORADOR]]="AFASTADO","AFASTADO",IF(D333&gt;TODAY(),_xlfn.DAYS(D333,TODAY())&amp;" Dia(s) Restante do "&amp;Tabela2[[#This Row],[STATUS COLABORADOR]],IF(D333&lt;TODAY(),"VENCIDO",IF(D333=TODAY(),"ULTIMO DIA DE CONTRATO",)))))))),"")</f>
        <v/>
      </c>
    </row>
    <row r="334" spans="1:11" x14ac:dyDescent="0.25">
      <c r="A334" s="4"/>
      <c r="B334" s="4"/>
      <c r="C334" s="5"/>
      <c r="D334" s="6"/>
      <c r="E334" s="4"/>
      <c r="F334" s="4"/>
      <c r="G334" s="5"/>
      <c r="H334" s="19" t="str">
        <f>IF(Tabela2[[#This Row],[REALIZAÇÃO DO ASO]]="","",Tabela2[[#This Row],[REALIZAÇÃO DO ASO]]+365)</f>
        <v/>
      </c>
      <c r="I33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COLABORADOR]]="AFASTADO","AFASTADO",IF(D334&gt;TODAY(),_xlfn.DAYS(D334,TODAY())&amp;" Dia(s) Restante do "&amp;Tabela2[[#This Row],[STATUS COLABORADOR]],IF(D334&lt;TODAY(),"VENCIDO",IF(D334=TODAY(),"ULTIMO DIA DE CONTRATO",)))))))),"")</f>
        <v/>
      </c>
    </row>
    <row r="335" spans="1:11" x14ac:dyDescent="0.25">
      <c r="A335" s="4"/>
      <c r="B335" s="4"/>
      <c r="C335" s="5"/>
      <c r="D335" s="6"/>
      <c r="E335" s="4"/>
      <c r="F335" s="4"/>
      <c r="G335" s="5"/>
      <c r="H335" s="19" t="str">
        <f>IF(Tabela2[[#This Row],[REALIZAÇÃO DO ASO]]="","",Tabela2[[#This Row],[REALIZAÇÃO DO ASO]]+365)</f>
        <v/>
      </c>
      <c r="I33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COLABORADOR]]="AFASTADO","AFASTADO",IF(D335&gt;TODAY(),_xlfn.DAYS(D335,TODAY())&amp;" Dia(s) Restante do "&amp;Tabela2[[#This Row],[STATUS COLABORADOR]],IF(D335&lt;TODAY(),"VENCIDO",IF(D335=TODAY(),"ULTIMO DIA DE CONTRATO",)))))))),"")</f>
        <v/>
      </c>
    </row>
    <row r="336" spans="1:11" x14ac:dyDescent="0.25">
      <c r="A336" s="4"/>
      <c r="B336" s="4"/>
      <c r="C336" s="5"/>
      <c r="D336" s="6"/>
      <c r="E336" s="4"/>
      <c r="F336" s="4"/>
      <c r="G336" s="5"/>
      <c r="H336" s="19" t="str">
        <f>IF(Tabela2[[#This Row],[REALIZAÇÃO DO ASO]]="","",Tabela2[[#This Row],[REALIZAÇÃO DO ASO]]+365)</f>
        <v/>
      </c>
      <c r="I33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COLABORADOR]]="AFASTADO","AFASTADO",IF(D336&gt;TODAY(),_xlfn.DAYS(D336,TODAY())&amp;" Dia(s) Restante do "&amp;Tabela2[[#This Row],[STATUS COLABORADOR]],IF(D336&lt;TODAY(),"VENCIDO",IF(D336=TODAY(),"ULTIMO DIA DE CONTRATO",)))))))),"")</f>
        <v/>
      </c>
    </row>
    <row r="337" spans="1:11" x14ac:dyDescent="0.25">
      <c r="A337" s="4"/>
      <c r="B337" s="4"/>
      <c r="C337" s="5"/>
      <c r="D337" s="6"/>
      <c r="E337" s="4"/>
      <c r="F337" s="4"/>
      <c r="G337" s="5"/>
      <c r="H337" s="19" t="str">
        <f>IF(Tabela2[[#This Row],[REALIZAÇÃO DO ASO]]="","",Tabela2[[#This Row],[REALIZAÇÃO DO ASO]]+365)</f>
        <v/>
      </c>
      <c r="I33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COLABORADOR]]="AFASTADO","AFASTADO",IF(D337&gt;TODAY(),_xlfn.DAYS(D337,TODAY())&amp;" Dia(s) Restante do "&amp;Tabela2[[#This Row],[STATUS COLABORADOR]],IF(D337&lt;TODAY(),"VENCIDO",IF(D337=TODAY(),"ULTIMO DIA DE CONTRATO",)))))))),"")</f>
        <v/>
      </c>
    </row>
    <row r="338" spans="1:11" x14ac:dyDescent="0.25">
      <c r="A338" s="4"/>
      <c r="B338" s="4"/>
      <c r="C338" s="5"/>
      <c r="D338" s="6"/>
      <c r="E338" s="4"/>
      <c r="F338" s="4"/>
      <c r="G338" s="5"/>
      <c r="H338" s="19" t="str">
        <f>IF(Tabela2[[#This Row],[REALIZAÇÃO DO ASO]]="","",Tabela2[[#This Row],[REALIZAÇÃO DO ASO]]+365)</f>
        <v/>
      </c>
      <c r="I33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COLABORADOR]]="AFASTADO","AFASTADO",IF(D338&gt;TODAY(),_xlfn.DAYS(D338,TODAY())&amp;" Dia(s) Restante do "&amp;Tabela2[[#This Row],[STATUS COLABORADOR]],IF(D338&lt;TODAY(),"VENCIDO",IF(D338=TODAY(),"ULTIMO DIA DE CONTRATO",)))))))),"")</f>
        <v/>
      </c>
    </row>
    <row r="339" spans="1:11" x14ac:dyDescent="0.25">
      <c r="A339" s="4"/>
      <c r="B339" s="4"/>
      <c r="C339" s="5"/>
      <c r="D339" s="6"/>
      <c r="E339" s="4"/>
      <c r="F339" s="4"/>
      <c r="G339" s="5"/>
      <c r="H339" s="19" t="str">
        <f>IF(Tabela2[[#This Row],[REALIZAÇÃO DO ASO]]="","",Tabela2[[#This Row],[REALIZAÇÃO DO ASO]]+365)</f>
        <v/>
      </c>
      <c r="I33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3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3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COLABORADOR]]="AFASTADO","AFASTADO",IF(D339&gt;TODAY(),_xlfn.DAYS(D339,TODAY())&amp;" Dia(s) Restante do "&amp;Tabela2[[#This Row],[STATUS COLABORADOR]],IF(D339&lt;TODAY(),"VENCIDO",IF(D339=TODAY(),"ULTIMO DIA DE CONTRATO",)))))))),"")</f>
        <v/>
      </c>
    </row>
    <row r="340" spans="1:11" x14ac:dyDescent="0.25">
      <c r="A340" s="4"/>
      <c r="B340" s="4"/>
      <c r="C340" s="5"/>
      <c r="D340" s="6"/>
      <c r="E340" s="4"/>
      <c r="F340" s="4"/>
      <c r="G340" s="5"/>
      <c r="H340" s="19" t="str">
        <f>IF(Tabela2[[#This Row],[REALIZAÇÃO DO ASO]]="","",Tabela2[[#This Row],[REALIZAÇÃO DO ASO]]+365)</f>
        <v/>
      </c>
      <c r="I34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COLABORADOR]]="AFASTADO","AFASTADO",IF(D340&gt;TODAY(),_xlfn.DAYS(D340,TODAY())&amp;" Dia(s) Restante do "&amp;Tabela2[[#This Row],[STATUS COLABORADOR]],IF(D340&lt;TODAY(),"VENCIDO",IF(D340=TODAY(),"ULTIMO DIA DE CONTRATO",)))))))),"")</f>
        <v/>
      </c>
    </row>
    <row r="341" spans="1:11" x14ac:dyDescent="0.25">
      <c r="A341" s="4"/>
      <c r="B341" s="4"/>
      <c r="C341" s="5"/>
      <c r="D341" s="6"/>
      <c r="E341" s="4"/>
      <c r="F341" s="4"/>
      <c r="G341" s="5"/>
      <c r="H341" s="19" t="str">
        <f>IF(Tabela2[[#This Row],[REALIZAÇÃO DO ASO]]="","",Tabela2[[#This Row],[REALIZAÇÃO DO ASO]]+365)</f>
        <v/>
      </c>
      <c r="I34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COLABORADOR]]="AFASTADO","AFASTADO",IF(D341&gt;TODAY(),_xlfn.DAYS(D341,TODAY())&amp;" Dia(s) Restante do "&amp;Tabela2[[#This Row],[STATUS COLABORADOR]],IF(D341&lt;TODAY(),"VENCIDO",IF(D341=TODAY(),"ULTIMO DIA DE CONTRATO",)))))))),"")</f>
        <v/>
      </c>
    </row>
    <row r="342" spans="1:11" x14ac:dyDescent="0.25">
      <c r="A342" s="4"/>
      <c r="B342" s="4"/>
      <c r="C342" s="5"/>
      <c r="D342" s="6"/>
      <c r="E342" s="4"/>
      <c r="F342" s="4"/>
      <c r="G342" s="5"/>
      <c r="H342" s="19" t="str">
        <f>IF(Tabela2[[#This Row],[REALIZAÇÃO DO ASO]]="","",Tabela2[[#This Row],[REALIZAÇÃO DO ASO]]+365)</f>
        <v/>
      </c>
      <c r="I34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COLABORADOR]]="AFASTADO","AFASTADO",IF(D342&gt;TODAY(),_xlfn.DAYS(D342,TODAY())&amp;" Dia(s) Restante do "&amp;Tabela2[[#This Row],[STATUS COLABORADOR]],IF(D342&lt;TODAY(),"VENCIDO",IF(D342=TODAY(),"ULTIMO DIA DE CONTRATO",)))))))),"")</f>
        <v/>
      </c>
    </row>
    <row r="343" spans="1:11" x14ac:dyDescent="0.25">
      <c r="A343" s="4"/>
      <c r="B343" s="4"/>
      <c r="C343" s="5"/>
      <c r="D343" s="6"/>
      <c r="E343" s="4"/>
      <c r="F343" s="4"/>
      <c r="G343" s="5"/>
      <c r="H343" s="19" t="str">
        <f>IF(Tabela2[[#This Row],[REALIZAÇÃO DO ASO]]="","",Tabela2[[#This Row],[REALIZAÇÃO DO ASO]]+365)</f>
        <v/>
      </c>
      <c r="I34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COLABORADOR]]="AFASTADO","AFASTADO",IF(D343&gt;TODAY(),_xlfn.DAYS(D343,TODAY())&amp;" Dia(s) Restante do "&amp;Tabela2[[#This Row],[STATUS COLABORADOR]],IF(D343&lt;TODAY(),"VENCIDO",IF(D343=TODAY(),"ULTIMO DIA DE CONTRATO",)))))))),"")</f>
        <v/>
      </c>
    </row>
    <row r="344" spans="1:11" x14ac:dyDescent="0.25">
      <c r="A344" s="4"/>
      <c r="B344" s="4"/>
      <c r="C344" s="5"/>
      <c r="D344" s="6"/>
      <c r="E344" s="4"/>
      <c r="F344" s="4"/>
      <c r="G344" s="5"/>
      <c r="H344" s="19" t="str">
        <f>IF(Tabela2[[#This Row],[REALIZAÇÃO DO ASO]]="","",Tabela2[[#This Row],[REALIZAÇÃO DO ASO]]+365)</f>
        <v/>
      </c>
      <c r="I34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COLABORADOR]]="AFASTADO","AFASTADO",IF(D344&gt;TODAY(),_xlfn.DAYS(D344,TODAY())&amp;" Dia(s) Restante do "&amp;Tabela2[[#This Row],[STATUS COLABORADOR]],IF(D344&lt;TODAY(),"VENCIDO",IF(D344=TODAY(),"ULTIMO DIA DE CONTRATO",)))))))),"")</f>
        <v/>
      </c>
    </row>
    <row r="345" spans="1:11" x14ac:dyDescent="0.25">
      <c r="A345" s="4"/>
      <c r="B345" s="4"/>
      <c r="C345" s="5"/>
      <c r="D345" s="6"/>
      <c r="E345" s="4"/>
      <c r="F345" s="4"/>
      <c r="G345" s="5"/>
      <c r="H345" s="19" t="str">
        <f>IF(Tabela2[[#This Row],[REALIZAÇÃO DO ASO]]="","",Tabela2[[#This Row],[REALIZAÇÃO DO ASO]]+365)</f>
        <v/>
      </c>
      <c r="I34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COLABORADOR]]="AFASTADO","AFASTADO",IF(D345&gt;TODAY(),_xlfn.DAYS(D345,TODAY())&amp;" Dia(s) Restante do "&amp;Tabela2[[#This Row],[STATUS COLABORADOR]],IF(D345&lt;TODAY(),"VENCIDO",IF(D345=TODAY(),"ULTIMO DIA DE CONTRATO",)))))))),"")</f>
        <v/>
      </c>
    </row>
    <row r="346" spans="1:11" x14ac:dyDescent="0.25">
      <c r="A346" s="4"/>
      <c r="B346" s="4"/>
      <c r="C346" s="5"/>
      <c r="D346" s="6"/>
      <c r="E346" s="4"/>
      <c r="F346" s="4"/>
      <c r="G346" s="5"/>
      <c r="H346" s="19" t="str">
        <f>IF(Tabela2[[#This Row],[REALIZAÇÃO DO ASO]]="","",Tabela2[[#This Row],[REALIZAÇÃO DO ASO]]+365)</f>
        <v/>
      </c>
      <c r="I34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COLABORADOR]]="AFASTADO","AFASTADO",IF(D346&gt;TODAY(),_xlfn.DAYS(D346,TODAY())&amp;" Dia(s) Restante do "&amp;Tabela2[[#This Row],[STATUS COLABORADOR]],IF(D346&lt;TODAY(),"VENCIDO",IF(D346=TODAY(),"ULTIMO DIA DE CONTRATO",)))))))),"")</f>
        <v/>
      </c>
    </row>
    <row r="347" spans="1:11" x14ac:dyDescent="0.25">
      <c r="A347" s="4"/>
      <c r="B347" s="4"/>
      <c r="C347" s="5"/>
      <c r="D347" s="6"/>
      <c r="E347" s="4"/>
      <c r="F347" s="4"/>
      <c r="G347" s="5"/>
      <c r="H347" s="19" t="str">
        <f>IF(Tabela2[[#This Row],[REALIZAÇÃO DO ASO]]="","",Tabela2[[#This Row],[REALIZAÇÃO DO ASO]]+365)</f>
        <v/>
      </c>
      <c r="I34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COLABORADOR]]="AFASTADO","AFASTADO",IF(D347&gt;TODAY(),_xlfn.DAYS(D347,TODAY())&amp;" Dia(s) Restante do "&amp;Tabela2[[#This Row],[STATUS COLABORADOR]],IF(D347&lt;TODAY(),"VENCIDO",IF(D347=TODAY(),"ULTIMO DIA DE CONTRATO",)))))))),"")</f>
        <v/>
      </c>
    </row>
    <row r="348" spans="1:11" x14ac:dyDescent="0.25">
      <c r="A348" s="4"/>
      <c r="B348" s="4"/>
      <c r="C348" s="5"/>
      <c r="D348" s="6"/>
      <c r="E348" s="4"/>
      <c r="F348" s="4"/>
      <c r="G348" s="5"/>
      <c r="H348" s="19" t="str">
        <f>IF(Tabela2[[#This Row],[REALIZAÇÃO DO ASO]]="","",Tabela2[[#This Row],[REALIZAÇÃO DO ASO]]+365)</f>
        <v/>
      </c>
      <c r="I34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COLABORADOR]]="AFASTADO","AFASTADO",IF(D348&gt;TODAY(),_xlfn.DAYS(D348,TODAY())&amp;" Dia(s) Restante do "&amp;Tabela2[[#This Row],[STATUS COLABORADOR]],IF(D348&lt;TODAY(),"VENCIDO",IF(D348=TODAY(),"ULTIMO DIA DE CONTRATO",)))))))),"")</f>
        <v/>
      </c>
    </row>
    <row r="349" spans="1:11" x14ac:dyDescent="0.25">
      <c r="A349" s="4"/>
      <c r="B349" s="4"/>
      <c r="C349" s="5"/>
      <c r="D349" s="6"/>
      <c r="E349" s="4"/>
      <c r="F349" s="4"/>
      <c r="G349" s="5"/>
      <c r="H349" s="19" t="str">
        <f>IF(Tabela2[[#This Row],[REALIZAÇÃO DO ASO]]="","",Tabela2[[#This Row],[REALIZAÇÃO DO ASO]]+365)</f>
        <v/>
      </c>
      <c r="I34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4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4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COLABORADOR]]="AFASTADO","AFASTADO",IF(D349&gt;TODAY(),_xlfn.DAYS(D349,TODAY())&amp;" Dia(s) Restante do "&amp;Tabela2[[#This Row],[STATUS COLABORADOR]],IF(D349&lt;TODAY(),"VENCIDO",IF(D349=TODAY(),"ULTIMO DIA DE CONTRATO",)))))))),"")</f>
        <v/>
      </c>
    </row>
    <row r="350" spans="1:11" x14ac:dyDescent="0.25">
      <c r="A350" s="4"/>
      <c r="B350" s="4"/>
      <c r="C350" s="5"/>
      <c r="D350" s="6"/>
      <c r="E350" s="4"/>
      <c r="F350" s="4"/>
      <c r="G350" s="5"/>
      <c r="H350" s="19" t="str">
        <f>IF(Tabela2[[#This Row],[REALIZAÇÃO DO ASO]]="","",Tabela2[[#This Row],[REALIZAÇÃO DO ASO]]+365)</f>
        <v/>
      </c>
      <c r="I35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COLABORADOR]]="AFASTADO","AFASTADO",IF(D350&gt;TODAY(),_xlfn.DAYS(D350,TODAY())&amp;" Dia(s) Restante do "&amp;Tabela2[[#This Row],[STATUS COLABORADOR]],IF(D350&lt;TODAY(),"VENCIDO",IF(D350=TODAY(),"ULTIMO DIA DE CONTRATO",)))))))),"")</f>
        <v/>
      </c>
    </row>
    <row r="351" spans="1:11" x14ac:dyDescent="0.25">
      <c r="A351" s="4"/>
      <c r="B351" s="4"/>
      <c r="C351" s="5"/>
      <c r="D351" s="6"/>
      <c r="E351" s="4"/>
      <c r="F351" s="4"/>
      <c r="G351" s="5"/>
      <c r="H351" s="19" t="str">
        <f>IF(Tabela2[[#This Row],[REALIZAÇÃO DO ASO]]="","",Tabela2[[#This Row],[REALIZAÇÃO DO ASO]]+365)</f>
        <v/>
      </c>
      <c r="I35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COLABORADOR]]="AFASTADO","AFASTADO",IF(D351&gt;TODAY(),_xlfn.DAYS(D351,TODAY())&amp;" Dia(s) Restante do "&amp;Tabela2[[#This Row],[STATUS COLABORADOR]],IF(D351&lt;TODAY(),"VENCIDO",IF(D351=TODAY(),"ULTIMO DIA DE CONTRATO",)))))))),"")</f>
        <v/>
      </c>
    </row>
    <row r="352" spans="1:11" x14ac:dyDescent="0.25">
      <c r="A352" s="4"/>
      <c r="B352" s="4"/>
      <c r="C352" s="5"/>
      <c r="D352" s="6"/>
      <c r="E352" s="4"/>
      <c r="F352" s="4"/>
      <c r="G352" s="5"/>
      <c r="H352" s="19" t="str">
        <f>IF(Tabela2[[#This Row],[REALIZAÇÃO DO ASO]]="","",Tabela2[[#This Row],[REALIZAÇÃO DO ASO]]+365)</f>
        <v/>
      </c>
      <c r="I35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COLABORADOR]]="AFASTADO","AFASTADO",IF(D352&gt;TODAY(),_xlfn.DAYS(D352,TODAY())&amp;" Dia(s) Restante do "&amp;Tabela2[[#This Row],[STATUS COLABORADOR]],IF(D352&lt;TODAY(),"VENCIDO",IF(D352=TODAY(),"ULTIMO DIA DE CONTRATO",)))))))),"")</f>
        <v/>
      </c>
    </row>
    <row r="353" spans="1:11" x14ac:dyDescent="0.25">
      <c r="A353" s="4"/>
      <c r="B353" s="4"/>
      <c r="C353" s="5"/>
      <c r="D353" s="6"/>
      <c r="E353" s="4"/>
      <c r="F353" s="4"/>
      <c r="G353" s="5"/>
      <c r="H353" s="19" t="str">
        <f>IF(Tabela2[[#This Row],[REALIZAÇÃO DO ASO]]="","",Tabela2[[#This Row],[REALIZAÇÃO DO ASO]]+365)</f>
        <v/>
      </c>
      <c r="I35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COLABORADOR]]="AFASTADO","AFASTADO",IF(D353&gt;TODAY(),_xlfn.DAYS(D353,TODAY())&amp;" Dia(s) Restante do "&amp;Tabela2[[#This Row],[STATUS COLABORADOR]],IF(D353&lt;TODAY(),"VENCIDO",IF(D353=TODAY(),"ULTIMO DIA DE CONTRATO",)))))))),"")</f>
        <v/>
      </c>
    </row>
    <row r="354" spans="1:11" x14ac:dyDescent="0.25">
      <c r="A354" s="4"/>
      <c r="B354" s="4"/>
      <c r="C354" s="5"/>
      <c r="D354" s="6"/>
      <c r="E354" s="4"/>
      <c r="F354" s="4"/>
      <c r="G354" s="5"/>
      <c r="H354" s="19" t="str">
        <f>IF(Tabela2[[#This Row],[REALIZAÇÃO DO ASO]]="","",Tabela2[[#This Row],[REALIZAÇÃO DO ASO]]+365)</f>
        <v/>
      </c>
      <c r="I35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COLABORADOR]]="AFASTADO","AFASTADO",IF(D354&gt;TODAY(),_xlfn.DAYS(D354,TODAY())&amp;" Dia(s) Restante do "&amp;Tabela2[[#This Row],[STATUS COLABORADOR]],IF(D354&lt;TODAY(),"VENCIDO",IF(D354=TODAY(),"ULTIMO DIA DE CONTRATO",)))))))),"")</f>
        <v/>
      </c>
    </row>
    <row r="355" spans="1:11" x14ac:dyDescent="0.25">
      <c r="A355" s="4"/>
      <c r="B355" s="4"/>
      <c r="C355" s="5"/>
      <c r="D355" s="6"/>
      <c r="E355" s="4"/>
      <c r="F355" s="4"/>
      <c r="G355" s="5"/>
      <c r="H355" s="19" t="str">
        <f>IF(Tabela2[[#This Row],[REALIZAÇÃO DO ASO]]="","",Tabela2[[#This Row],[REALIZAÇÃO DO ASO]]+365)</f>
        <v/>
      </c>
      <c r="I35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COLABORADOR]]="AFASTADO","AFASTADO",IF(D355&gt;TODAY(),_xlfn.DAYS(D355,TODAY())&amp;" Dia(s) Restante do "&amp;Tabela2[[#This Row],[STATUS COLABORADOR]],IF(D355&lt;TODAY(),"VENCIDO",IF(D355=TODAY(),"ULTIMO DIA DE CONTRATO",)))))))),"")</f>
        <v/>
      </c>
    </row>
    <row r="356" spans="1:11" x14ac:dyDescent="0.25">
      <c r="A356" s="4"/>
      <c r="B356" s="4"/>
      <c r="C356" s="5"/>
      <c r="D356" s="6"/>
      <c r="E356" s="4"/>
      <c r="F356" s="4"/>
      <c r="G356" s="5"/>
      <c r="H356" s="19" t="str">
        <f>IF(Tabela2[[#This Row],[REALIZAÇÃO DO ASO]]="","",Tabela2[[#This Row],[REALIZAÇÃO DO ASO]]+365)</f>
        <v/>
      </c>
      <c r="I35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COLABORADOR]]="AFASTADO","AFASTADO",IF(D356&gt;TODAY(),_xlfn.DAYS(D356,TODAY())&amp;" Dia(s) Restante do "&amp;Tabela2[[#This Row],[STATUS COLABORADOR]],IF(D356&lt;TODAY(),"VENCIDO",IF(D356=TODAY(),"ULTIMO DIA DE CONTRATO",)))))))),"")</f>
        <v/>
      </c>
    </row>
    <row r="357" spans="1:11" x14ac:dyDescent="0.25">
      <c r="A357" s="4"/>
      <c r="B357" s="4"/>
      <c r="C357" s="5"/>
      <c r="D357" s="6"/>
      <c r="E357" s="4"/>
      <c r="F357" s="4"/>
      <c r="G357" s="5"/>
      <c r="H357" s="19" t="str">
        <f>IF(Tabela2[[#This Row],[REALIZAÇÃO DO ASO]]="","",Tabela2[[#This Row],[REALIZAÇÃO DO ASO]]+365)</f>
        <v/>
      </c>
      <c r="I35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COLABORADOR]]="AFASTADO","AFASTADO",IF(D357&gt;TODAY(),_xlfn.DAYS(D357,TODAY())&amp;" Dia(s) Restante do "&amp;Tabela2[[#This Row],[STATUS COLABORADOR]],IF(D357&lt;TODAY(),"VENCIDO",IF(D357=TODAY(),"ULTIMO DIA DE CONTRATO",)))))))),"")</f>
        <v/>
      </c>
    </row>
    <row r="358" spans="1:11" x14ac:dyDescent="0.25">
      <c r="A358" s="4"/>
      <c r="B358" s="4"/>
      <c r="C358" s="5"/>
      <c r="D358" s="6"/>
      <c r="E358" s="4"/>
      <c r="F358" s="4"/>
      <c r="G358" s="5"/>
      <c r="H358" s="19" t="str">
        <f>IF(Tabela2[[#This Row],[REALIZAÇÃO DO ASO]]="","",Tabela2[[#This Row],[REALIZAÇÃO DO ASO]]+365)</f>
        <v/>
      </c>
      <c r="I35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COLABORADOR]]="AFASTADO","AFASTADO",IF(D358&gt;TODAY(),_xlfn.DAYS(D358,TODAY())&amp;" Dia(s) Restante do "&amp;Tabela2[[#This Row],[STATUS COLABORADOR]],IF(D358&lt;TODAY(),"VENCIDO",IF(D358=TODAY(),"ULTIMO DIA DE CONTRATO",)))))))),"")</f>
        <v/>
      </c>
    </row>
    <row r="359" spans="1:11" x14ac:dyDescent="0.25">
      <c r="A359" s="4"/>
      <c r="B359" s="4"/>
      <c r="C359" s="5"/>
      <c r="D359" s="6"/>
      <c r="E359" s="4"/>
      <c r="F359" s="4"/>
      <c r="G359" s="5"/>
      <c r="H359" s="19" t="str">
        <f>IF(Tabela2[[#This Row],[REALIZAÇÃO DO ASO]]="","",Tabela2[[#This Row],[REALIZAÇÃO DO ASO]]+365)</f>
        <v/>
      </c>
      <c r="I35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5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5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COLABORADOR]]="AFASTADO","AFASTADO",IF(D359&gt;TODAY(),_xlfn.DAYS(D359,TODAY())&amp;" Dia(s) Restante do "&amp;Tabela2[[#This Row],[STATUS COLABORADOR]],IF(D359&lt;TODAY(),"VENCIDO",IF(D359=TODAY(),"ULTIMO DIA DE CONTRATO",)))))))),"")</f>
        <v/>
      </c>
    </row>
    <row r="360" spans="1:11" x14ac:dyDescent="0.25">
      <c r="A360" s="4"/>
      <c r="B360" s="4"/>
      <c r="C360" s="5"/>
      <c r="D360" s="6"/>
      <c r="E360" s="4"/>
      <c r="F360" s="4"/>
      <c r="G360" s="5"/>
      <c r="H360" s="19" t="str">
        <f>IF(Tabela2[[#This Row],[REALIZAÇÃO DO ASO]]="","",Tabela2[[#This Row],[REALIZAÇÃO DO ASO]]+365)</f>
        <v/>
      </c>
      <c r="I36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COLABORADOR]]="AFASTADO","AFASTADO",IF(D360&gt;TODAY(),_xlfn.DAYS(D360,TODAY())&amp;" Dia(s) Restante do "&amp;Tabela2[[#This Row],[STATUS COLABORADOR]],IF(D360&lt;TODAY(),"VENCIDO",IF(D360=TODAY(),"ULTIMO DIA DE CONTRATO",)))))))),"")</f>
        <v/>
      </c>
    </row>
    <row r="361" spans="1:11" x14ac:dyDescent="0.25">
      <c r="A361" s="4"/>
      <c r="B361" s="4"/>
      <c r="C361" s="5"/>
      <c r="D361" s="6"/>
      <c r="E361" s="4"/>
      <c r="F361" s="4"/>
      <c r="G361" s="5"/>
      <c r="H361" s="19" t="str">
        <f>IF(Tabela2[[#This Row],[REALIZAÇÃO DO ASO]]="","",Tabela2[[#This Row],[REALIZAÇÃO DO ASO]]+365)</f>
        <v/>
      </c>
      <c r="I36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COLABORADOR]]="AFASTADO","AFASTADO",IF(D361&gt;TODAY(),_xlfn.DAYS(D361,TODAY())&amp;" Dia(s) Restante do "&amp;Tabela2[[#This Row],[STATUS COLABORADOR]],IF(D361&lt;TODAY(),"VENCIDO",IF(D361=TODAY(),"ULTIMO DIA DE CONTRATO",)))))))),"")</f>
        <v/>
      </c>
    </row>
    <row r="362" spans="1:11" x14ac:dyDescent="0.25">
      <c r="A362" s="4"/>
      <c r="B362" s="4"/>
      <c r="C362" s="5"/>
      <c r="D362" s="6"/>
      <c r="E362" s="4"/>
      <c r="F362" s="4"/>
      <c r="G362" s="5"/>
      <c r="H362" s="19" t="str">
        <f>IF(Tabela2[[#This Row],[REALIZAÇÃO DO ASO]]="","",Tabela2[[#This Row],[REALIZAÇÃO DO ASO]]+365)</f>
        <v/>
      </c>
      <c r="I36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COLABORADOR]]="AFASTADO","AFASTADO",IF(D362&gt;TODAY(),_xlfn.DAYS(D362,TODAY())&amp;" Dia(s) Restante do "&amp;Tabela2[[#This Row],[STATUS COLABORADOR]],IF(D362&lt;TODAY(),"VENCIDO",IF(D362=TODAY(),"ULTIMO DIA DE CONTRATO",)))))))),"")</f>
        <v/>
      </c>
    </row>
    <row r="363" spans="1:11" x14ac:dyDescent="0.25">
      <c r="A363" s="4"/>
      <c r="B363" s="4"/>
      <c r="C363" s="5"/>
      <c r="D363" s="6"/>
      <c r="E363" s="4"/>
      <c r="F363" s="4"/>
      <c r="G363" s="5"/>
      <c r="H363" s="19" t="str">
        <f>IF(Tabela2[[#This Row],[REALIZAÇÃO DO ASO]]="","",Tabela2[[#This Row],[REALIZAÇÃO DO ASO]]+365)</f>
        <v/>
      </c>
      <c r="I36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COLABORADOR]]="AFASTADO","AFASTADO",IF(D363&gt;TODAY(),_xlfn.DAYS(D363,TODAY())&amp;" Dia(s) Restante do "&amp;Tabela2[[#This Row],[STATUS COLABORADOR]],IF(D363&lt;TODAY(),"VENCIDO",IF(D363=TODAY(),"ULTIMO DIA DE CONTRATO",)))))))),"")</f>
        <v/>
      </c>
    </row>
    <row r="364" spans="1:11" x14ac:dyDescent="0.25">
      <c r="A364" s="4"/>
      <c r="B364" s="4"/>
      <c r="C364" s="5"/>
      <c r="D364" s="6"/>
      <c r="E364" s="4"/>
      <c r="F364" s="4"/>
      <c r="G364" s="5"/>
      <c r="H364" s="19" t="str">
        <f>IF(Tabela2[[#This Row],[REALIZAÇÃO DO ASO]]="","",Tabela2[[#This Row],[REALIZAÇÃO DO ASO]]+365)</f>
        <v/>
      </c>
      <c r="I36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COLABORADOR]]="AFASTADO","AFASTADO",IF(D364&gt;TODAY(),_xlfn.DAYS(D364,TODAY())&amp;" Dia(s) Restante do "&amp;Tabela2[[#This Row],[STATUS COLABORADOR]],IF(D364&lt;TODAY(),"VENCIDO",IF(D364=TODAY(),"ULTIMO DIA DE CONTRATO",)))))))),"")</f>
        <v/>
      </c>
    </row>
    <row r="365" spans="1:11" x14ac:dyDescent="0.25">
      <c r="A365" s="4"/>
      <c r="B365" s="4"/>
      <c r="C365" s="5"/>
      <c r="D365" s="6"/>
      <c r="E365" s="4"/>
      <c r="F365" s="4"/>
      <c r="G365" s="5"/>
      <c r="H365" s="19" t="str">
        <f>IF(Tabela2[[#This Row],[REALIZAÇÃO DO ASO]]="","",Tabela2[[#This Row],[REALIZAÇÃO DO ASO]]+365)</f>
        <v/>
      </c>
      <c r="I36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COLABORADOR]]="AFASTADO","AFASTADO",IF(D365&gt;TODAY(),_xlfn.DAYS(D365,TODAY())&amp;" Dia(s) Restante do "&amp;Tabela2[[#This Row],[STATUS COLABORADOR]],IF(D365&lt;TODAY(),"VENCIDO",IF(D365=TODAY(),"ULTIMO DIA DE CONTRATO",)))))))),"")</f>
        <v/>
      </c>
    </row>
    <row r="366" spans="1:11" x14ac:dyDescent="0.25">
      <c r="A366" s="4"/>
      <c r="B366" s="4"/>
      <c r="C366" s="5"/>
      <c r="D366" s="6"/>
      <c r="E366" s="4"/>
      <c r="F366" s="4"/>
      <c r="G366" s="5"/>
      <c r="H366" s="19" t="str">
        <f>IF(Tabela2[[#This Row],[REALIZAÇÃO DO ASO]]="","",Tabela2[[#This Row],[REALIZAÇÃO DO ASO]]+365)</f>
        <v/>
      </c>
      <c r="I36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COLABORADOR]]="AFASTADO","AFASTADO",IF(D366&gt;TODAY(),_xlfn.DAYS(D366,TODAY())&amp;" Dia(s) Restante do "&amp;Tabela2[[#This Row],[STATUS COLABORADOR]],IF(D366&lt;TODAY(),"VENCIDO",IF(D366=TODAY(),"ULTIMO DIA DE CONTRATO",)))))))),"")</f>
        <v/>
      </c>
    </row>
    <row r="367" spans="1:11" x14ac:dyDescent="0.25">
      <c r="A367" s="4"/>
      <c r="B367" s="4"/>
      <c r="C367" s="5"/>
      <c r="D367" s="6"/>
      <c r="E367" s="4"/>
      <c r="F367" s="4"/>
      <c r="G367" s="5"/>
      <c r="H367" s="19" t="str">
        <f>IF(Tabela2[[#This Row],[REALIZAÇÃO DO ASO]]="","",Tabela2[[#This Row],[REALIZAÇÃO DO ASO]]+365)</f>
        <v/>
      </c>
      <c r="I36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COLABORADOR]]="AFASTADO","AFASTADO",IF(D367&gt;TODAY(),_xlfn.DAYS(D367,TODAY())&amp;" Dia(s) Restante do "&amp;Tabela2[[#This Row],[STATUS COLABORADOR]],IF(D367&lt;TODAY(),"VENCIDO",IF(D367=TODAY(),"ULTIMO DIA DE CONTRATO",)))))))),"")</f>
        <v/>
      </c>
    </row>
    <row r="368" spans="1:11" x14ac:dyDescent="0.25">
      <c r="A368" s="4"/>
      <c r="B368" s="4"/>
      <c r="C368" s="5"/>
      <c r="D368" s="6"/>
      <c r="E368" s="4"/>
      <c r="F368" s="4"/>
      <c r="G368" s="5"/>
      <c r="H368" s="19" t="str">
        <f>IF(Tabela2[[#This Row],[REALIZAÇÃO DO ASO]]="","",Tabela2[[#This Row],[REALIZAÇÃO DO ASO]]+365)</f>
        <v/>
      </c>
      <c r="I36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COLABORADOR]]="AFASTADO","AFASTADO",IF(D368&gt;TODAY(),_xlfn.DAYS(D368,TODAY())&amp;" Dia(s) Restante do "&amp;Tabela2[[#This Row],[STATUS COLABORADOR]],IF(D368&lt;TODAY(),"VENCIDO",IF(D368=TODAY(),"ULTIMO DIA DE CONTRATO",)))))))),"")</f>
        <v/>
      </c>
    </row>
    <row r="369" spans="1:11" x14ac:dyDescent="0.25">
      <c r="A369" s="4"/>
      <c r="B369" s="4"/>
      <c r="C369" s="5"/>
      <c r="D369" s="6"/>
      <c r="E369" s="4"/>
      <c r="F369" s="4"/>
      <c r="G369" s="5"/>
      <c r="H369" s="19" t="str">
        <f>IF(Tabela2[[#This Row],[REALIZAÇÃO DO ASO]]="","",Tabela2[[#This Row],[REALIZAÇÃO DO ASO]]+365)</f>
        <v/>
      </c>
      <c r="I36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6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6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COLABORADOR]]="AFASTADO","AFASTADO",IF(D369&gt;TODAY(),_xlfn.DAYS(D369,TODAY())&amp;" Dia(s) Restante do "&amp;Tabela2[[#This Row],[STATUS COLABORADOR]],IF(D369&lt;TODAY(),"VENCIDO",IF(D369=TODAY(),"ULTIMO DIA DE CONTRATO",)))))))),"")</f>
        <v/>
      </c>
    </row>
    <row r="370" spans="1:11" x14ac:dyDescent="0.25">
      <c r="A370" s="4"/>
      <c r="B370" s="4"/>
      <c r="C370" s="5"/>
      <c r="D370" s="6"/>
      <c r="E370" s="4"/>
      <c r="F370" s="4"/>
      <c r="G370" s="5"/>
      <c r="H370" s="19" t="str">
        <f>IF(Tabela2[[#This Row],[REALIZAÇÃO DO ASO]]="","",Tabela2[[#This Row],[REALIZAÇÃO DO ASO]]+365)</f>
        <v/>
      </c>
      <c r="I37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COLABORADOR]]="AFASTADO","AFASTADO",IF(D370&gt;TODAY(),_xlfn.DAYS(D370,TODAY())&amp;" Dia(s) Restante do "&amp;Tabela2[[#This Row],[STATUS COLABORADOR]],IF(D370&lt;TODAY(),"VENCIDO",IF(D370=TODAY(),"ULTIMO DIA DE CONTRATO",)))))))),"")</f>
        <v/>
      </c>
    </row>
    <row r="371" spans="1:11" x14ac:dyDescent="0.25">
      <c r="A371" s="4"/>
      <c r="B371" s="4"/>
      <c r="C371" s="5"/>
      <c r="D371" s="6"/>
      <c r="E371" s="4"/>
      <c r="F371" s="4"/>
      <c r="G371" s="5"/>
      <c r="H371" s="19" t="str">
        <f>IF(Tabela2[[#This Row],[REALIZAÇÃO DO ASO]]="","",Tabela2[[#This Row],[REALIZAÇÃO DO ASO]]+365)</f>
        <v/>
      </c>
      <c r="I37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COLABORADOR]]="AFASTADO","AFASTADO",IF(D371&gt;TODAY(),_xlfn.DAYS(D371,TODAY())&amp;" Dia(s) Restante do "&amp;Tabela2[[#This Row],[STATUS COLABORADOR]],IF(D371&lt;TODAY(),"VENCIDO",IF(D371=TODAY(),"ULTIMO DIA DE CONTRATO",)))))))),"")</f>
        <v/>
      </c>
    </row>
    <row r="372" spans="1:11" x14ac:dyDescent="0.25">
      <c r="A372" s="4"/>
      <c r="B372" s="4"/>
      <c r="C372" s="5"/>
      <c r="D372" s="6"/>
      <c r="E372" s="4"/>
      <c r="F372" s="4"/>
      <c r="G372" s="5"/>
      <c r="H372" s="19" t="str">
        <f>IF(Tabela2[[#This Row],[REALIZAÇÃO DO ASO]]="","",Tabela2[[#This Row],[REALIZAÇÃO DO ASO]]+365)</f>
        <v/>
      </c>
      <c r="I37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COLABORADOR]]="AFASTADO","AFASTADO",IF(D372&gt;TODAY(),_xlfn.DAYS(D372,TODAY())&amp;" Dia(s) Restante do "&amp;Tabela2[[#This Row],[STATUS COLABORADOR]],IF(D372&lt;TODAY(),"VENCIDO",IF(D372=TODAY(),"ULTIMO DIA DE CONTRATO",)))))))),"")</f>
        <v/>
      </c>
    </row>
    <row r="373" spans="1:11" x14ac:dyDescent="0.25">
      <c r="A373" s="4"/>
      <c r="B373" s="4"/>
      <c r="C373" s="5"/>
      <c r="D373" s="6"/>
      <c r="E373" s="4"/>
      <c r="F373" s="4"/>
      <c r="G373" s="5"/>
      <c r="H373" s="19" t="str">
        <f>IF(Tabela2[[#This Row],[REALIZAÇÃO DO ASO]]="","",Tabela2[[#This Row],[REALIZAÇÃO DO ASO]]+365)</f>
        <v/>
      </c>
      <c r="I37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COLABORADOR]]="AFASTADO","AFASTADO",IF(D373&gt;TODAY(),_xlfn.DAYS(D373,TODAY())&amp;" Dia(s) Restante do "&amp;Tabela2[[#This Row],[STATUS COLABORADOR]],IF(D373&lt;TODAY(),"VENCIDO",IF(D373=TODAY(),"ULTIMO DIA DE CONTRATO",)))))))),"")</f>
        <v/>
      </c>
    </row>
    <row r="374" spans="1:11" x14ac:dyDescent="0.25">
      <c r="A374" s="4"/>
      <c r="B374" s="4"/>
      <c r="C374" s="5"/>
      <c r="D374" s="6"/>
      <c r="E374" s="4"/>
      <c r="F374" s="4"/>
      <c r="G374" s="5"/>
      <c r="H374" s="19" t="str">
        <f>IF(Tabela2[[#This Row],[REALIZAÇÃO DO ASO]]="","",Tabela2[[#This Row],[REALIZAÇÃO DO ASO]]+365)</f>
        <v/>
      </c>
      <c r="I37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COLABORADOR]]="AFASTADO","AFASTADO",IF(D374&gt;TODAY(),_xlfn.DAYS(D374,TODAY())&amp;" Dia(s) Restante do "&amp;Tabela2[[#This Row],[STATUS COLABORADOR]],IF(D374&lt;TODAY(),"VENCIDO",IF(D374=TODAY(),"ULTIMO DIA DE CONTRATO",)))))))),"")</f>
        <v/>
      </c>
    </row>
    <row r="375" spans="1:11" x14ac:dyDescent="0.25">
      <c r="A375" s="4"/>
      <c r="B375" s="4"/>
      <c r="C375" s="5"/>
      <c r="D375" s="6"/>
      <c r="E375" s="4"/>
      <c r="F375" s="4"/>
      <c r="G375" s="5"/>
      <c r="H375" s="19" t="str">
        <f>IF(Tabela2[[#This Row],[REALIZAÇÃO DO ASO]]="","",Tabela2[[#This Row],[REALIZAÇÃO DO ASO]]+365)</f>
        <v/>
      </c>
      <c r="I37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COLABORADOR]]="AFASTADO","AFASTADO",IF(D375&gt;TODAY(),_xlfn.DAYS(D375,TODAY())&amp;" Dia(s) Restante do "&amp;Tabela2[[#This Row],[STATUS COLABORADOR]],IF(D375&lt;TODAY(),"VENCIDO",IF(D375=TODAY(),"ULTIMO DIA DE CONTRATO",)))))))),"")</f>
        <v/>
      </c>
    </row>
    <row r="376" spans="1:11" x14ac:dyDescent="0.25">
      <c r="A376" s="4"/>
      <c r="B376" s="4"/>
      <c r="C376" s="5"/>
      <c r="D376" s="6"/>
      <c r="E376" s="4"/>
      <c r="F376" s="4"/>
      <c r="G376" s="5"/>
      <c r="H376" s="19" t="str">
        <f>IF(Tabela2[[#This Row],[REALIZAÇÃO DO ASO]]="","",Tabela2[[#This Row],[REALIZAÇÃO DO ASO]]+365)</f>
        <v/>
      </c>
      <c r="I37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COLABORADOR]]="AFASTADO","AFASTADO",IF(D376&gt;TODAY(),_xlfn.DAYS(D376,TODAY())&amp;" Dia(s) Restante do "&amp;Tabela2[[#This Row],[STATUS COLABORADOR]],IF(D376&lt;TODAY(),"VENCIDO",IF(D376=TODAY(),"ULTIMO DIA DE CONTRATO",)))))))),"")</f>
        <v/>
      </c>
    </row>
    <row r="377" spans="1:11" x14ac:dyDescent="0.25">
      <c r="A377" s="4"/>
      <c r="B377" s="4"/>
      <c r="C377" s="5"/>
      <c r="D377" s="6"/>
      <c r="E377" s="4"/>
      <c r="F377" s="4"/>
      <c r="G377" s="5"/>
      <c r="H377" s="19" t="str">
        <f>IF(Tabela2[[#This Row],[REALIZAÇÃO DO ASO]]="","",Tabela2[[#This Row],[REALIZAÇÃO DO ASO]]+365)</f>
        <v/>
      </c>
      <c r="I37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COLABORADOR]]="AFASTADO","AFASTADO",IF(D377&gt;TODAY(),_xlfn.DAYS(D377,TODAY())&amp;" Dia(s) Restante do "&amp;Tabela2[[#This Row],[STATUS COLABORADOR]],IF(D377&lt;TODAY(),"VENCIDO",IF(D377=TODAY(),"ULTIMO DIA DE CONTRATO",)))))))),"")</f>
        <v/>
      </c>
    </row>
    <row r="378" spans="1:11" x14ac:dyDescent="0.25">
      <c r="A378" s="4"/>
      <c r="B378" s="4"/>
      <c r="C378" s="5"/>
      <c r="D378" s="6"/>
      <c r="E378" s="4"/>
      <c r="F378" s="4"/>
      <c r="G378" s="5"/>
      <c r="H378" s="19" t="str">
        <f>IF(Tabela2[[#This Row],[REALIZAÇÃO DO ASO]]="","",Tabela2[[#This Row],[REALIZAÇÃO DO ASO]]+365)</f>
        <v/>
      </c>
      <c r="I37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COLABORADOR]]="AFASTADO","AFASTADO",IF(D378&gt;TODAY(),_xlfn.DAYS(D378,TODAY())&amp;" Dia(s) Restante do "&amp;Tabela2[[#This Row],[STATUS COLABORADOR]],IF(D378&lt;TODAY(),"VENCIDO",IF(D378=TODAY(),"ULTIMO DIA DE CONTRATO",)))))))),"")</f>
        <v/>
      </c>
    </row>
    <row r="379" spans="1:11" x14ac:dyDescent="0.25">
      <c r="A379" s="4"/>
      <c r="B379" s="4"/>
      <c r="C379" s="5"/>
      <c r="D379" s="6"/>
      <c r="E379" s="4"/>
      <c r="F379" s="4"/>
      <c r="G379" s="5"/>
      <c r="H379" s="19" t="str">
        <f>IF(Tabela2[[#This Row],[REALIZAÇÃO DO ASO]]="","",Tabela2[[#This Row],[REALIZAÇÃO DO ASO]]+365)</f>
        <v/>
      </c>
      <c r="I37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7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7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COLABORADOR]]="AFASTADO","AFASTADO",IF(D379&gt;TODAY(),_xlfn.DAYS(D379,TODAY())&amp;" Dia(s) Restante do "&amp;Tabela2[[#This Row],[STATUS COLABORADOR]],IF(D379&lt;TODAY(),"VENCIDO",IF(D379=TODAY(),"ULTIMO DIA DE CONTRATO",)))))))),"")</f>
        <v/>
      </c>
    </row>
    <row r="380" spans="1:11" x14ac:dyDescent="0.25">
      <c r="A380" s="4"/>
      <c r="B380" s="4"/>
      <c r="C380" s="5"/>
      <c r="D380" s="6"/>
      <c r="E380" s="4"/>
      <c r="F380" s="4"/>
      <c r="G380" s="5"/>
      <c r="H380" s="19" t="str">
        <f>IF(Tabela2[[#This Row],[REALIZAÇÃO DO ASO]]="","",Tabela2[[#This Row],[REALIZAÇÃO DO ASO]]+365)</f>
        <v/>
      </c>
      <c r="I38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COLABORADOR]]="AFASTADO","AFASTADO",IF(D380&gt;TODAY(),_xlfn.DAYS(D380,TODAY())&amp;" Dia(s) Restante do "&amp;Tabela2[[#This Row],[STATUS COLABORADOR]],IF(D380&lt;TODAY(),"VENCIDO",IF(D380=TODAY(),"ULTIMO DIA DE CONTRATO",)))))))),"")</f>
        <v/>
      </c>
    </row>
    <row r="381" spans="1:11" x14ac:dyDescent="0.25">
      <c r="A381" s="4"/>
      <c r="B381" s="4"/>
      <c r="C381" s="5"/>
      <c r="D381" s="6"/>
      <c r="E381" s="4"/>
      <c r="F381" s="4"/>
      <c r="G381" s="5"/>
      <c r="H381" s="19" t="str">
        <f>IF(Tabela2[[#This Row],[REALIZAÇÃO DO ASO]]="","",Tabela2[[#This Row],[REALIZAÇÃO DO ASO]]+365)</f>
        <v/>
      </c>
      <c r="I38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COLABORADOR]]="AFASTADO","AFASTADO",IF(D381&gt;TODAY(),_xlfn.DAYS(D381,TODAY())&amp;" Dia(s) Restante do "&amp;Tabela2[[#This Row],[STATUS COLABORADOR]],IF(D381&lt;TODAY(),"VENCIDO",IF(D381=TODAY(),"ULTIMO DIA DE CONTRATO",)))))))),"")</f>
        <v/>
      </c>
    </row>
    <row r="382" spans="1:11" x14ac:dyDescent="0.25">
      <c r="A382" s="4"/>
      <c r="B382" s="4"/>
      <c r="C382" s="5"/>
      <c r="D382" s="6"/>
      <c r="E382" s="4"/>
      <c r="F382" s="4"/>
      <c r="G382" s="5"/>
      <c r="H382" s="19" t="str">
        <f>IF(Tabela2[[#This Row],[REALIZAÇÃO DO ASO]]="","",Tabela2[[#This Row],[REALIZAÇÃO DO ASO]]+365)</f>
        <v/>
      </c>
      <c r="I38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COLABORADOR]]="AFASTADO","AFASTADO",IF(D382&gt;TODAY(),_xlfn.DAYS(D382,TODAY())&amp;" Dia(s) Restante do "&amp;Tabela2[[#This Row],[STATUS COLABORADOR]],IF(D382&lt;TODAY(),"VENCIDO",IF(D382=TODAY(),"ULTIMO DIA DE CONTRATO",)))))))),"")</f>
        <v/>
      </c>
    </row>
    <row r="383" spans="1:11" x14ac:dyDescent="0.25">
      <c r="A383" s="4"/>
      <c r="B383" s="4"/>
      <c r="C383" s="5"/>
      <c r="D383" s="6"/>
      <c r="E383" s="4"/>
      <c r="F383" s="4"/>
      <c r="G383" s="5"/>
      <c r="H383" s="19" t="str">
        <f>IF(Tabela2[[#This Row],[REALIZAÇÃO DO ASO]]="","",Tabela2[[#This Row],[REALIZAÇÃO DO ASO]]+365)</f>
        <v/>
      </c>
      <c r="I38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COLABORADOR]]="AFASTADO","AFASTADO",IF(D383&gt;TODAY(),_xlfn.DAYS(D383,TODAY())&amp;" Dia(s) Restante do "&amp;Tabela2[[#This Row],[STATUS COLABORADOR]],IF(D383&lt;TODAY(),"VENCIDO",IF(D383=TODAY(),"ULTIMO DIA DE CONTRATO",)))))))),"")</f>
        <v/>
      </c>
    </row>
    <row r="384" spans="1:11" x14ac:dyDescent="0.25">
      <c r="A384" s="4"/>
      <c r="B384" s="4"/>
      <c r="C384" s="5"/>
      <c r="D384" s="6"/>
      <c r="E384" s="4"/>
      <c r="F384" s="4"/>
      <c r="G384" s="5"/>
      <c r="H384" s="19" t="str">
        <f>IF(Tabela2[[#This Row],[REALIZAÇÃO DO ASO]]="","",Tabela2[[#This Row],[REALIZAÇÃO DO ASO]]+365)</f>
        <v/>
      </c>
      <c r="I38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COLABORADOR]]="AFASTADO","AFASTADO",IF(D384&gt;TODAY(),_xlfn.DAYS(D384,TODAY())&amp;" Dia(s) Restante do "&amp;Tabela2[[#This Row],[STATUS COLABORADOR]],IF(D384&lt;TODAY(),"VENCIDO",IF(D384=TODAY(),"ULTIMO DIA DE CONTRATO",)))))))),"")</f>
        <v/>
      </c>
    </row>
    <row r="385" spans="1:11" x14ac:dyDescent="0.25">
      <c r="A385" s="4"/>
      <c r="B385" s="4"/>
      <c r="C385" s="5"/>
      <c r="D385" s="6"/>
      <c r="E385" s="4"/>
      <c r="F385" s="4"/>
      <c r="G385" s="5"/>
      <c r="H385" s="19" t="str">
        <f>IF(Tabela2[[#This Row],[REALIZAÇÃO DO ASO]]="","",Tabela2[[#This Row],[REALIZAÇÃO DO ASO]]+365)</f>
        <v/>
      </c>
      <c r="I38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COLABORADOR]]="AFASTADO","AFASTADO",IF(D385&gt;TODAY(),_xlfn.DAYS(D385,TODAY())&amp;" Dia(s) Restante do "&amp;Tabela2[[#This Row],[STATUS COLABORADOR]],IF(D385&lt;TODAY(),"VENCIDO",IF(D385=TODAY(),"ULTIMO DIA DE CONTRATO",)))))))),"")</f>
        <v/>
      </c>
    </row>
    <row r="386" spans="1:11" x14ac:dyDescent="0.25">
      <c r="A386" s="4"/>
      <c r="B386" s="4"/>
      <c r="C386" s="5"/>
      <c r="D386" s="6"/>
      <c r="E386" s="4"/>
      <c r="F386" s="4"/>
      <c r="G386" s="5"/>
      <c r="H386" s="19" t="str">
        <f>IF(Tabela2[[#This Row],[REALIZAÇÃO DO ASO]]="","",Tabela2[[#This Row],[REALIZAÇÃO DO ASO]]+365)</f>
        <v/>
      </c>
      <c r="I38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COLABORADOR]]="AFASTADO","AFASTADO",IF(D386&gt;TODAY(),_xlfn.DAYS(D386,TODAY())&amp;" Dia(s) Restante do "&amp;Tabela2[[#This Row],[STATUS COLABORADOR]],IF(D386&lt;TODAY(),"VENCIDO",IF(D386=TODAY(),"ULTIMO DIA DE CONTRATO",)))))))),"")</f>
        <v/>
      </c>
    </row>
    <row r="387" spans="1:11" x14ac:dyDescent="0.25">
      <c r="A387" s="4"/>
      <c r="B387" s="4"/>
      <c r="C387" s="5"/>
      <c r="D387" s="6"/>
      <c r="E387" s="4"/>
      <c r="F387" s="4"/>
      <c r="G387" s="5"/>
      <c r="H387" s="19" t="str">
        <f>IF(Tabela2[[#This Row],[REALIZAÇÃO DO ASO]]="","",Tabela2[[#This Row],[REALIZAÇÃO DO ASO]]+365)</f>
        <v/>
      </c>
      <c r="I38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COLABORADOR]]="AFASTADO","AFASTADO",IF(D387&gt;TODAY(),_xlfn.DAYS(D387,TODAY())&amp;" Dia(s) Restante do "&amp;Tabela2[[#This Row],[STATUS COLABORADOR]],IF(D387&lt;TODAY(),"VENCIDO",IF(D387=TODAY(),"ULTIMO DIA DE CONTRATO",)))))))),"")</f>
        <v/>
      </c>
    </row>
    <row r="388" spans="1:11" x14ac:dyDescent="0.25">
      <c r="A388" s="4"/>
      <c r="B388" s="4"/>
      <c r="C388" s="5"/>
      <c r="D388" s="6"/>
      <c r="E388" s="4"/>
      <c r="F388" s="4"/>
      <c r="G388" s="5"/>
      <c r="H388" s="19" t="str">
        <f>IF(Tabela2[[#This Row],[REALIZAÇÃO DO ASO]]="","",Tabela2[[#This Row],[REALIZAÇÃO DO ASO]]+365)</f>
        <v/>
      </c>
      <c r="I38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COLABORADOR]]="AFASTADO","AFASTADO",IF(D388&gt;TODAY(),_xlfn.DAYS(D388,TODAY())&amp;" Dia(s) Restante do "&amp;Tabela2[[#This Row],[STATUS COLABORADOR]],IF(D388&lt;TODAY(),"VENCIDO",IF(D388=TODAY(),"ULTIMO DIA DE CONTRATO",)))))))),"")</f>
        <v/>
      </c>
    </row>
    <row r="389" spans="1:11" x14ac:dyDescent="0.25">
      <c r="A389" s="4"/>
      <c r="B389" s="4"/>
      <c r="C389" s="5"/>
      <c r="D389" s="6"/>
      <c r="E389" s="4"/>
      <c r="F389" s="4"/>
      <c r="G389" s="5"/>
      <c r="H389" s="19" t="str">
        <f>IF(Tabela2[[#This Row],[REALIZAÇÃO DO ASO]]="","",Tabela2[[#This Row],[REALIZAÇÃO DO ASO]]+365)</f>
        <v/>
      </c>
      <c r="I38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8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8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COLABORADOR]]="AFASTADO","AFASTADO",IF(D389&gt;TODAY(),_xlfn.DAYS(D389,TODAY())&amp;" Dia(s) Restante do "&amp;Tabela2[[#This Row],[STATUS COLABORADOR]],IF(D389&lt;TODAY(),"VENCIDO",IF(D389=TODAY(),"ULTIMO DIA DE CONTRATO",)))))))),"")</f>
        <v/>
      </c>
    </row>
    <row r="390" spans="1:11" x14ac:dyDescent="0.25">
      <c r="A390" s="4"/>
      <c r="B390" s="4"/>
      <c r="C390" s="5"/>
      <c r="D390" s="6"/>
      <c r="E390" s="4"/>
      <c r="F390" s="4"/>
      <c r="G390" s="5"/>
      <c r="H390" s="19" t="str">
        <f>IF(Tabela2[[#This Row],[REALIZAÇÃO DO ASO]]="","",Tabela2[[#This Row],[REALIZAÇÃO DO ASO]]+365)</f>
        <v/>
      </c>
      <c r="I39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COLABORADOR]]="AFASTADO","AFASTADO",IF(D390&gt;TODAY(),_xlfn.DAYS(D390,TODAY())&amp;" Dia(s) Restante do "&amp;Tabela2[[#This Row],[STATUS COLABORADOR]],IF(D390&lt;TODAY(),"VENCIDO",IF(D390=TODAY(),"ULTIMO DIA DE CONTRATO",)))))))),"")</f>
        <v/>
      </c>
    </row>
    <row r="391" spans="1:11" x14ac:dyDescent="0.25">
      <c r="A391" s="4"/>
      <c r="B391" s="4"/>
      <c r="C391" s="5"/>
      <c r="D391" s="6"/>
      <c r="E391" s="4"/>
      <c r="F391" s="4"/>
      <c r="G391" s="5"/>
      <c r="H391" s="19" t="str">
        <f>IF(Tabela2[[#This Row],[REALIZAÇÃO DO ASO]]="","",Tabela2[[#This Row],[REALIZAÇÃO DO ASO]]+365)</f>
        <v/>
      </c>
      <c r="I39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COLABORADOR]]="AFASTADO","AFASTADO",IF(D391&gt;TODAY(),_xlfn.DAYS(D391,TODAY())&amp;" Dia(s) Restante do "&amp;Tabela2[[#This Row],[STATUS COLABORADOR]],IF(D391&lt;TODAY(),"VENCIDO",IF(D391=TODAY(),"ULTIMO DIA DE CONTRATO",)))))))),"")</f>
        <v/>
      </c>
    </row>
    <row r="392" spans="1:11" x14ac:dyDescent="0.25">
      <c r="A392" s="4"/>
      <c r="B392" s="4"/>
      <c r="C392" s="5"/>
      <c r="D392" s="6"/>
      <c r="E392" s="4"/>
      <c r="F392" s="4"/>
      <c r="G392" s="5"/>
      <c r="H392" s="19" t="str">
        <f>IF(Tabela2[[#This Row],[REALIZAÇÃO DO ASO]]="","",Tabela2[[#This Row],[REALIZAÇÃO DO ASO]]+365)</f>
        <v/>
      </c>
      <c r="I39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COLABORADOR]]="AFASTADO","AFASTADO",IF(D392&gt;TODAY(),_xlfn.DAYS(D392,TODAY())&amp;" Dia(s) Restante do "&amp;Tabela2[[#This Row],[STATUS COLABORADOR]],IF(D392&lt;TODAY(),"VENCIDO",IF(D392=TODAY(),"ULTIMO DIA DE CONTRATO",)))))))),"")</f>
        <v/>
      </c>
    </row>
    <row r="393" spans="1:11" x14ac:dyDescent="0.25">
      <c r="A393" s="4"/>
      <c r="B393" s="4"/>
      <c r="C393" s="5"/>
      <c r="D393" s="6"/>
      <c r="E393" s="4"/>
      <c r="F393" s="4"/>
      <c r="G393" s="5"/>
      <c r="H393" s="19" t="str">
        <f>IF(Tabela2[[#This Row],[REALIZAÇÃO DO ASO]]="","",Tabela2[[#This Row],[REALIZAÇÃO DO ASO]]+365)</f>
        <v/>
      </c>
      <c r="I39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COLABORADOR]]="AFASTADO","AFASTADO",IF(D393&gt;TODAY(),_xlfn.DAYS(D393,TODAY())&amp;" Dia(s) Restante do "&amp;Tabela2[[#This Row],[STATUS COLABORADOR]],IF(D393&lt;TODAY(),"VENCIDO",IF(D393=TODAY(),"ULTIMO DIA DE CONTRATO",)))))))),"")</f>
        <v/>
      </c>
    </row>
    <row r="394" spans="1:11" x14ac:dyDescent="0.25">
      <c r="A394" s="4"/>
      <c r="B394" s="4"/>
      <c r="C394" s="5"/>
      <c r="D394" s="6"/>
      <c r="E394" s="4"/>
      <c r="F394" s="4"/>
      <c r="G394" s="5"/>
      <c r="H394" s="19" t="str">
        <f>IF(Tabela2[[#This Row],[REALIZAÇÃO DO ASO]]="","",Tabela2[[#This Row],[REALIZAÇÃO DO ASO]]+365)</f>
        <v/>
      </c>
      <c r="I39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COLABORADOR]]="AFASTADO","AFASTADO",IF(D394&gt;TODAY(),_xlfn.DAYS(D394,TODAY())&amp;" Dia(s) Restante do "&amp;Tabela2[[#This Row],[STATUS COLABORADOR]],IF(D394&lt;TODAY(),"VENCIDO",IF(D394=TODAY(),"ULTIMO DIA DE CONTRATO",)))))))),"")</f>
        <v/>
      </c>
    </row>
    <row r="395" spans="1:11" x14ac:dyDescent="0.25">
      <c r="A395" s="4"/>
      <c r="B395" s="4"/>
      <c r="C395" s="5"/>
      <c r="D395" s="6"/>
      <c r="E395" s="4"/>
      <c r="F395" s="4"/>
      <c r="G395" s="5"/>
      <c r="H395" s="19" t="str">
        <f>IF(Tabela2[[#This Row],[REALIZAÇÃO DO ASO]]="","",Tabela2[[#This Row],[REALIZAÇÃO DO ASO]]+365)</f>
        <v/>
      </c>
      <c r="I39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COLABORADOR]]="AFASTADO","AFASTADO",IF(D395&gt;TODAY(),_xlfn.DAYS(D395,TODAY())&amp;" Dia(s) Restante do "&amp;Tabela2[[#This Row],[STATUS COLABORADOR]],IF(D395&lt;TODAY(),"VENCIDO",IF(D395=TODAY(),"ULTIMO DIA DE CONTRATO",)))))))),"")</f>
        <v/>
      </c>
    </row>
    <row r="396" spans="1:11" x14ac:dyDescent="0.25">
      <c r="A396" s="4"/>
      <c r="B396" s="4"/>
      <c r="C396" s="5"/>
      <c r="D396" s="6"/>
      <c r="E396" s="4"/>
      <c r="F396" s="4"/>
      <c r="G396" s="5"/>
      <c r="H396" s="19" t="str">
        <f>IF(Tabela2[[#This Row],[REALIZAÇÃO DO ASO]]="","",Tabela2[[#This Row],[REALIZAÇÃO DO ASO]]+365)</f>
        <v/>
      </c>
      <c r="I39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COLABORADOR]]="AFASTADO","AFASTADO",IF(D396&gt;TODAY(),_xlfn.DAYS(D396,TODAY())&amp;" Dia(s) Restante do "&amp;Tabela2[[#This Row],[STATUS COLABORADOR]],IF(D396&lt;TODAY(),"VENCIDO",IF(D396=TODAY(),"ULTIMO DIA DE CONTRATO",)))))))),"")</f>
        <v/>
      </c>
    </row>
    <row r="397" spans="1:11" x14ac:dyDescent="0.25">
      <c r="A397" s="4"/>
      <c r="B397" s="4"/>
      <c r="C397" s="5"/>
      <c r="D397" s="6"/>
      <c r="E397" s="4"/>
      <c r="F397" s="4"/>
      <c r="G397" s="5"/>
      <c r="H397" s="19" t="str">
        <f>IF(Tabela2[[#This Row],[REALIZAÇÃO DO ASO]]="","",Tabela2[[#This Row],[REALIZAÇÃO DO ASO]]+365)</f>
        <v/>
      </c>
      <c r="I39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COLABORADOR]]="AFASTADO","AFASTADO",IF(D397&gt;TODAY(),_xlfn.DAYS(D397,TODAY())&amp;" Dia(s) Restante do "&amp;Tabela2[[#This Row],[STATUS COLABORADOR]],IF(D397&lt;TODAY(),"VENCIDO",IF(D397=TODAY(),"ULTIMO DIA DE CONTRATO",)))))))),"")</f>
        <v/>
      </c>
    </row>
    <row r="398" spans="1:11" x14ac:dyDescent="0.25">
      <c r="A398" s="4"/>
      <c r="B398" s="4"/>
      <c r="C398" s="5"/>
      <c r="D398" s="6"/>
      <c r="E398" s="4"/>
      <c r="F398" s="4"/>
      <c r="G398" s="5"/>
      <c r="H398" s="19" t="str">
        <f>IF(Tabela2[[#This Row],[REALIZAÇÃO DO ASO]]="","",Tabela2[[#This Row],[REALIZAÇÃO DO ASO]]+365)</f>
        <v/>
      </c>
      <c r="I39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COLABORADOR]]="AFASTADO","AFASTADO",IF(D398&gt;TODAY(),_xlfn.DAYS(D398,TODAY())&amp;" Dia(s) Restante do "&amp;Tabela2[[#This Row],[STATUS COLABORADOR]],IF(D398&lt;TODAY(),"VENCIDO",IF(D398=TODAY(),"ULTIMO DIA DE CONTRATO",)))))))),"")</f>
        <v/>
      </c>
    </row>
    <row r="399" spans="1:11" x14ac:dyDescent="0.25">
      <c r="A399" s="4"/>
      <c r="B399" s="4"/>
      <c r="C399" s="5"/>
      <c r="D399" s="6"/>
      <c r="E399" s="4"/>
      <c r="F399" s="4"/>
      <c r="G399" s="5"/>
      <c r="H399" s="19" t="str">
        <f>IF(Tabela2[[#This Row],[REALIZAÇÃO DO ASO]]="","",Tabela2[[#This Row],[REALIZAÇÃO DO ASO]]+365)</f>
        <v/>
      </c>
      <c r="I39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39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39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COLABORADOR]]="AFASTADO","AFASTADO",IF(D399&gt;TODAY(),_xlfn.DAYS(D399,TODAY())&amp;" Dia(s) Restante do "&amp;Tabela2[[#This Row],[STATUS COLABORADOR]],IF(D399&lt;TODAY(),"VENCIDO",IF(D399=TODAY(),"ULTIMO DIA DE CONTRATO",)))))))),"")</f>
        <v/>
      </c>
    </row>
    <row r="400" spans="1:11" x14ac:dyDescent="0.25">
      <c r="A400" s="4"/>
      <c r="B400" s="4"/>
      <c r="C400" s="5"/>
      <c r="D400" s="6"/>
      <c r="E400" s="4"/>
      <c r="F400" s="4"/>
      <c r="G400" s="5"/>
      <c r="H400" s="19" t="str">
        <f>IF(Tabela2[[#This Row],[REALIZAÇÃO DO ASO]]="","",Tabela2[[#This Row],[REALIZAÇÃO DO ASO]]+365)</f>
        <v/>
      </c>
      <c r="I40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COLABORADOR]]="AFASTADO","AFASTADO",IF(D400&gt;TODAY(),_xlfn.DAYS(D400,TODAY())&amp;" Dia(s) Restante do "&amp;Tabela2[[#This Row],[STATUS COLABORADOR]],IF(D400&lt;TODAY(),"VENCIDO",IF(D400=TODAY(),"ULTIMO DIA DE CONTRATO",)))))))),"")</f>
        <v/>
      </c>
    </row>
    <row r="401" spans="1:11" x14ac:dyDescent="0.25">
      <c r="A401" s="4"/>
      <c r="B401" s="4"/>
      <c r="C401" s="5"/>
      <c r="D401" s="6"/>
      <c r="E401" s="4"/>
      <c r="F401" s="4"/>
      <c r="G401" s="5"/>
      <c r="H401" s="19" t="str">
        <f>IF(Tabela2[[#This Row],[REALIZAÇÃO DO ASO]]="","",Tabela2[[#This Row],[REALIZAÇÃO DO ASO]]+365)</f>
        <v/>
      </c>
      <c r="I40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COLABORADOR]]="AFASTADO","AFASTADO",IF(D401&gt;TODAY(),_xlfn.DAYS(D401,TODAY())&amp;" Dia(s) Restante do "&amp;Tabela2[[#This Row],[STATUS COLABORADOR]],IF(D401&lt;TODAY(),"VENCIDO",IF(D401=TODAY(),"ULTIMO DIA DE CONTRATO",)))))))),"")</f>
        <v/>
      </c>
    </row>
    <row r="402" spans="1:11" x14ac:dyDescent="0.25">
      <c r="A402" s="4"/>
      <c r="B402" s="4"/>
      <c r="C402" s="5"/>
      <c r="D402" s="6"/>
      <c r="E402" s="4"/>
      <c r="F402" s="4"/>
      <c r="G402" s="5"/>
      <c r="H402" s="19" t="str">
        <f>IF(Tabela2[[#This Row],[REALIZAÇÃO DO ASO]]="","",Tabela2[[#This Row],[REALIZAÇÃO DO ASO]]+365)</f>
        <v/>
      </c>
      <c r="I40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COLABORADOR]]="AFASTADO","AFASTADO",IF(D402&gt;TODAY(),_xlfn.DAYS(D402,TODAY())&amp;" Dia(s) Restante do "&amp;Tabela2[[#This Row],[STATUS COLABORADOR]],IF(D402&lt;TODAY(),"VENCIDO",IF(D402=TODAY(),"ULTIMO DIA DE CONTRATO",)))))))),"")</f>
        <v/>
      </c>
    </row>
    <row r="403" spans="1:11" x14ac:dyDescent="0.25">
      <c r="A403" s="4"/>
      <c r="B403" s="4"/>
      <c r="C403" s="5"/>
      <c r="D403" s="6"/>
      <c r="E403" s="4"/>
      <c r="F403" s="4"/>
      <c r="G403" s="5"/>
      <c r="H403" s="19" t="str">
        <f>IF(Tabela2[[#This Row],[REALIZAÇÃO DO ASO]]="","",Tabela2[[#This Row],[REALIZAÇÃO DO ASO]]+365)</f>
        <v/>
      </c>
      <c r="I40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COLABORADOR]]="AFASTADO","AFASTADO",IF(D403&gt;TODAY(),_xlfn.DAYS(D403,TODAY())&amp;" Dia(s) Restante do "&amp;Tabela2[[#This Row],[STATUS COLABORADOR]],IF(D403&lt;TODAY(),"VENCIDO",IF(D403=TODAY(),"ULTIMO DIA DE CONTRATO",)))))))),"")</f>
        <v/>
      </c>
    </row>
    <row r="404" spans="1:11" x14ac:dyDescent="0.25">
      <c r="A404" s="4"/>
      <c r="B404" s="4"/>
      <c r="C404" s="5"/>
      <c r="D404" s="6"/>
      <c r="E404" s="4"/>
      <c r="F404" s="4"/>
      <c r="G404" s="5"/>
      <c r="H404" s="19" t="str">
        <f>IF(Tabela2[[#This Row],[REALIZAÇÃO DO ASO]]="","",Tabela2[[#This Row],[REALIZAÇÃO DO ASO]]+365)</f>
        <v/>
      </c>
      <c r="I40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COLABORADOR]]="AFASTADO","AFASTADO",IF(D404&gt;TODAY(),_xlfn.DAYS(D404,TODAY())&amp;" Dia(s) Restante do "&amp;Tabela2[[#This Row],[STATUS COLABORADOR]],IF(D404&lt;TODAY(),"VENCIDO",IF(D404=TODAY(),"ULTIMO DIA DE CONTRATO",)))))))),"")</f>
        <v/>
      </c>
    </row>
    <row r="405" spans="1:11" x14ac:dyDescent="0.25">
      <c r="A405" s="4"/>
      <c r="B405" s="4"/>
      <c r="C405" s="5"/>
      <c r="D405" s="6"/>
      <c r="E405" s="4"/>
      <c r="F405" s="4"/>
      <c r="G405" s="5"/>
      <c r="H405" s="19" t="str">
        <f>IF(Tabela2[[#This Row],[REALIZAÇÃO DO ASO]]="","",Tabela2[[#This Row],[REALIZAÇÃO DO ASO]]+365)</f>
        <v/>
      </c>
      <c r="I40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COLABORADOR]]="AFASTADO","AFASTADO",IF(D405&gt;TODAY(),_xlfn.DAYS(D405,TODAY())&amp;" Dia(s) Restante do "&amp;Tabela2[[#This Row],[STATUS COLABORADOR]],IF(D405&lt;TODAY(),"VENCIDO",IF(D405=TODAY(),"ULTIMO DIA DE CONTRATO",)))))))),"")</f>
        <v/>
      </c>
    </row>
    <row r="406" spans="1:11" x14ac:dyDescent="0.25">
      <c r="A406" s="4"/>
      <c r="B406" s="4"/>
      <c r="C406" s="5"/>
      <c r="D406" s="6"/>
      <c r="E406" s="4"/>
      <c r="F406" s="4"/>
      <c r="G406" s="5"/>
      <c r="H406" s="19" t="str">
        <f>IF(Tabela2[[#This Row],[REALIZAÇÃO DO ASO]]="","",Tabela2[[#This Row],[REALIZAÇÃO DO ASO]]+365)</f>
        <v/>
      </c>
      <c r="I40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COLABORADOR]]="AFASTADO","AFASTADO",IF(D406&gt;TODAY(),_xlfn.DAYS(D406,TODAY())&amp;" Dia(s) Restante do "&amp;Tabela2[[#This Row],[STATUS COLABORADOR]],IF(D406&lt;TODAY(),"VENCIDO",IF(D406=TODAY(),"ULTIMO DIA DE CONTRATO",)))))))),"")</f>
        <v/>
      </c>
    </row>
    <row r="407" spans="1:11" x14ac:dyDescent="0.25">
      <c r="A407" s="4"/>
      <c r="B407" s="4"/>
      <c r="C407" s="5"/>
      <c r="D407" s="6"/>
      <c r="E407" s="4"/>
      <c r="F407" s="4"/>
      <c r="G407" s="5"/>
      <c r="H407" s="19" t="str">
        <f>IF(Tabela2[[#This Row],[REALIZAÇÃO DO ASO]]="","",Tabela2[[#This Row],[REALIZAÇÃO DO ASO]]+365)</f>
        <v/>
      </c>
      <c r="I40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COLABORADOR]]="AFASTADO","AFASTADO",IF(D407&gt;TODAY(),_xlfn.DAYS(D407,TODAY())&amp;" Dia(s) Restante do "&amp;Tabela2[[#This Row],[STATUS COLABORADOR]],IF(D407&lt;TODAY(),"VENCIDO",IF(D407=TODAY(),"ULTIMO DIA DE CONTRATO",)))))))),"")</f>
        <v/>
      </c>
    </row>
    <row r="408" spans="1:11" x14ac:dyDescent="0.25">
      <c r="A408" s="4"/>
      <c r="B408" s="4"/>
      <c r="C408" s="5"/>
      <c r="D408" s="6"/>
      <c r="E408" s="4"/>
      <c r="F408" s="4"/>
      <c r="G408" s="5"/>
      <c r="H408" s="19" t="str">
        <f>IF(Tabela2[[#This Row],[REALIZAÇÃO DO ASO]]="","",Tabela2[[#This Row],[REALIZAÇÃO DO ASO]]+365)</f>
        <v/>
      </c>
      <c r="I40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COLABORADOR]]="AFASTADO","AFASTADO",IF(D408&gt;TODAY(),_xlfn.DAYS(D408,TODAY())&amp;" Dia(s) Restante do "&amp;Tabela2[[#This Row],[STATUS COLABORADOR]],IF(D408&lt;TODAY(),"VENCIDO",IF(D408=TODAY(),"ULTIMO DIA DE CONTRATO",)))))))),"")</f>
        <v/>
      </c>
    </row>
    <row r="409" spans="1:11" x14ac:dyDescent="0.25">
      <c r="A409" s="4"/>
      <c r="B409" s="4"/>
      <c r="C409" s="5"/>
      <c r="D409" s="6"/>
      <c r="E409" s="4"/>
      <c r="F409" s="4"/>
      <c r="G409" s="5"/>
      <c r="H409" s="19" t="str">
        <f>IF(Tabela2[[#This Row],[REALIZAÇÃO DO ASO]]="","",Tabela2[[#This Row],[REALIZAÇÃO DO ASO]]+365)</f>
        <v/>
      </c>
      <c r="I40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0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0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COLABORADOR]]="AFASTADO","AFASTADO",IF(D409&gt;TODAY(),_xlfn.DAYS(D409,TODAY())&amp;" Dia(s) Restante do "&amp;Tabela2[[#This Row],[STATUS COLABORADOR]],IF(D409&lt;TODAY(),"VENCIDO",IF(D409=TODAY(),"ULTIMO DIA DE CONTRATO",)))))))),"")</f>
        <v/>
      </c>
    </row>
    <row r="410" spans="1:11" x14ac:dyDescent="0.25">
      <c r="A410" s="4"/>
      <c r="B410" s="4"/>
      <c r="C410" s="5"/>
      <c r="D410" s="6"/>
      <c r="E410" s="4"/>
      <c r="F410" s="4"/>
      <c r="G410" s="5"/>
      <c r="H410" s="19" t="str">
        <f>IF(Tabela2[[#This Row],[REALIZAÇÃO DO ASO]]="","",Tabela2[[#This Row],[REALIZAÇÃO DO ASO]]+365)</f>
        <v/>
      </c>
      <c r="I4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COLABORADOR]]="AFASTADO","AFASTADO",IF(D410&gt;TODAY(),_xlfn.DAYS(D410,TODAY())&amp;" Dia(s) Restante do "&amp;Tabela2[[#This Row],[STATUS COLABORADOR]],IF(D410&lt;TODAY(),"VENCIDO",IF(D410=TODAY(),"ULTIMO DIA DE CONTRATO",)))))))),"")</f>
        <v/>
      </c>
    </row>
    <row r="411" spans="1:11" x14ac:dyDescent="0.25">
      <c r="A411" s="4"/>
      <c r="B411" s="4"/>
      <c r="C411" s="5"/>
      <c r="D411" s="6"/>
      <c r="E411" s="4"/>
      <c r="F411" s="4"/>
      <c r="G411" s="5"/>
      <c r="H411" s="19" t="str">
        <f>IF(Tabela2[[#This Row],[REALIZAÇÃO DO ASO]]="","",Tabela2[[#This Row],[REALIZAÇÃO DO ASO]]+365)</f>
        <v/>
      </c>
      <c r="I41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COLABORADOR]]="AFASTADO","AFASTADO",IF(D411&gt;TODAY(),_xlfn.DAYS(D411,TODAY())&amp;" Dia(s) Restante do "&amp;Tabela2[[#This Row],[STATUS COLABORADOR]],IF(D411&lt;TODAY(),"VENCIDO",IF(D411=TODAY(),"ULTIMO DIA DE CONTRATO",)))))))),"")</f>
        <v/>
      </c>
    </row>
    <row r="412" spans="1:11" x14ac:dyDescent="0.25">
      <c r="A412" s="4"/>
      <c r="B412" s="4"/>
      <c r="C412" s="5"/>
      <c r="D412" s="6"/>
      <c r="E412" s="4"/>
      <c r="F412" s="4"/>
      <c r="G412" s="5"/>
      <c r="H412" s="19" t="str">
        <f>IF(Tabela2[[#This Row],[REALIZAÇÃO DO ASO]]="","",Tabela2[[#This Row],[REALIZAÇÃO DO ASO]]+365)</f>
        <v/>
      </c>
      <c r="I41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COLABORADOR]]="AFASTADO","AFASTADO",IF(D412&gt;TODAY(),_xlfn.DAYS(D412,TODAY())&amp;" Dia(s) Restante do "&amp;Tabela2[[#This Row],[STATUS COLABORADOR]],IF(D412&lt;TODAY(),"VENCIDO",IF(D412=TODAY(),"ULTIMO DIA DE CONTRATO",)))))))),"")</f>
        <v/>
      </c>
    </row>
    <row r="413" spans="1:11" x14ac:dyDescent="0.25">
      <c r="A413" s="4"/>
      <c r="B413" s="4"/>
      <c r="C413" s="5"/>
      <c r="D413" s="6"/>
      <c r="E413" s="4"/>
      <c r="F413" s="4"/>
      <c r="G413" s="5"/>
      <c r="H413" s="19" t="str">
        <f>IF(Tabela2[[#This Row],[REALIZAÇÃO DO ASO]]="","",Tabela2[[#This Row],[REALIZAÇÃO DO ASO]]+365)</f>
        <v/>
      </c>
      <c r="I41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COLABORADOR]]="AFASTADO","AFASTADO",IF(D413&gt;TODAY(),_xlfn.DAYS(D413,TODAY())&amp;" Dia(s) Restante do "&amp;Tabela2[[#This Row],[STATUS COLABORADOR]],IF(D413&lt;TODAY(),"VENCIDO",IF(D413=TODAY(),"ULTIMO DIA DE CONTRATO",)))))))),"")</f>
        <v/>
      </c>
    </row>
    <row r="414" spans="1:11" x14ac:dyDescent="0.25">
      <c r="A414" s="4"/>
      <c r="B414" s="4"/>
      <c r="C414" s="5"/>
      <c r="D414" s="6"/>
      <c r="E414" s="4"/>
      <c r="F414" s="4"/>
      <c r="G414" s="5"/>
      <c r="H414" s="19" t="str">
        <f>IF(Tabela2[[#This Row],[REALIZAÇÃO DO ASO]]="","",Tabela2[[#This Row],[REALIZAÇÃO DO ASO]]+365)</f>
        <v/>
      </c>
      <c r="I41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COLABORADOR]]="AFASTADO","AFASTADO",IF(D414&gt;TODAY(),_xlfn.DAYS(D414,TODAY())&amp;" Dia(s) Restante do "&amp;Tabela2[[#This Row],[STATUS COLABORADOR]],IF(D414&lt;TODAY(),"VENCIDO",IF(D414=TODAY(),"ULTIMO DIA DE CONTRATO",)))))))),"")</f>
        <v/>
      </c>
    </row>
    <row r="415" spans="1:11" x14ac:dyDescent="0.25">
      <c r="A415" s="4"/>
      <c r="B415" s="4"/>
      <c r="C415" s="5"/>
      <c r="D415" s="6"/>
      <c r="E415" s="4"/>
      <c r="F415" s="4"/>
      <c r="G415" s="5"/>
      <c r="H415" s="19" t="str">
        <f>IF(Tabela2[[#This Row],[REALIZAÇÃO DO ASO]]="","",Tabela2[[#This Row],[REALIZAÇÃO DO ASO]]+365)</f>
        <v/>
      </c>
      <c r="I41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COLABORADOR]]="AFASTADO","AFASTADO",IF(D415&gt;TODAY(),_xlfn.DAYS(D415,TODAY())&amp;" Dia(s) Restante do "&amp;Tabela2[[#This Row],[STATUS COLABORADOR]],IF(D415&lt;TODAY(),"VENCIDO",IF(D415=TODAY(),"ULTIMO DIA DE CONTRATO",)))))))),"")</f>
        <v/>
      </c>
    </row>
    <row r="416" spans="1:11" x14ac:dyDescent="0.25">
      <c r="A416" s="4"/>
      <c r="B416" s="4"/>
      <c r="C416" s="5"/>
      <c r="D416" s="6"/>
      <c r="E416" s="4"/>
      <c r="F416" s="4"/>
      <c r="G416" s="5"/>
      <c r="H416" s="19" t="str">
        <f>IF(Tabela2[[#This Row],[REALIZAÇÃO DO ASO]]="","",Tabela2[[#This Row],[REALIZAÇÃO DO ASO]]+365)</f>
        <v/>
      </c>
      <c r="I41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COLABORADOR]]="AFASTADO","AFASTADO",IF(D416&gt;TODAY(),_xlfn.DAYS(D416,TODAY())&amp;" Dia(s) Restante do "&amp;Tabela2[[#This Row],[STATUS COLABORADOR]],IF(D416&lt;TODAY(),"VENCIDO",IF(D416=TODAY(),"ULTIMO DIA DE CONTRATO",)))))))),"")</f>
        <v/>
      </c>
    </row>
    <row r="417" spans="1:11" x14ac:dyDescent="0.25">
      <c r="A417" s="4"/>
      <c r="B417" s="4"/>
      <c r="C417" s="5"/>
      <c r="D417" s="6"/>
      <c r="E417" s="4"/>
      <c r="F417" s="4"/>
      <c r="G417" s="5"/>
      <c r="H417" s="19" t="str">
        <f>IF(Tabela2[[#This Row],[REALIZAÇÃO DO ASO]]="","",Tabela2[[#This Row],[REALIZAÇÃO DO ASO]]+365)</f>
        <v/>
      </c>
      <c r="I41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COLABORADOR]]="AFASTADO","AFASTADO",IF(D417&gt;TODAY(),_xlfn.DAYS(D417,TODAY())&amp;" Dia(s) Restante do "&amp;Tabela2[[#This Row],[STATUS COLABORADOR]],IF(D417&lt;TODAY(),"VENCIDO",IF(D417=TODAY(),"ULTIMO DIA DE CONTRATO",)))))))),"")</f>
        <v/>
      </c>
    </row>
    <row r="418" spans="1:11" x14ac:dyDescent="0.25">
      <c r="A418" s="4"/>
      <c r="B418" s="4"/>
      <c r="C418" s="5"/>
      <c r="D418" s="6"/>
      <c r="E418" s="4"/>
      <c r="F418" s="4"/>
      <c r="G418" s="5"/>
      <c r="H418" s="19" t="str">
        <f>IF(Tabela2[[#This Row],[REALIZAÇÃO DO ASO]]="","",Tabela2[[#This Row],[REALIZAÇÃO DO ASO]]+365)</f>
        <v/>
      </c>
      <c r="I41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COLABORADOR]]="AFASTADO","AFASTADO",IF(D418&gt;TODAY(),_xlfn.DAYS(D418,TODAY())&amp;" Dia(s) Restante do "&amp;Tabela2[[#This Row],[STATUS COLABORADOR]],IF(D418&lt;TODAY(),"VENCIDO",IF(D418=TODAY(),"ULTIMO DIA DE CONTRATO",)))))))),"")</f>
        <v/>
      </c>
    </row>
    <row r="419" spans="1:11" x14ac:dyDescent="0.25">
      <c r="A419" s="4"/>
      <c r="B419" s="4"/>
      <c r="C419" s="5"/>
      <c r="D419" s="6"/>
      <c r="E419" s="4"/>
      <c r="F419" s="4"/>
      <c r="G419" s="5"/>
      <c r="H419" s="19" t="str">
        <f>IF(Tabela2[[#This Row],[REALIZAÇÃO DO ASO]]="","",Tabela2[[#This Row],[REALIZAÇÃO DO ASO]]+365)</f>
        <v/>
      </c>
      <c r="I41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1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1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COLABORADOR]]="AFASTADO","AFASTADO",IF(D419&gt;TODAY(),_xlfn.DAYS(D419,TODAY())&amp;" Dia(s) Restante do "&amp;Tabela2[[#This Row],[STATUS COLABORADOR]],IF(D419&lt;TODAY(),"VENCIDO",IF(D419=TODAY(),"ULTIMO DIA DE CONTRATO",)))))))),"")</f>
        <v/>
      </c>
    </row>
    <row r="420" spans="1:11" x14ac:dyDescent="0.25">
      <c r="A420" s="4"/>
      <c r="B420" s="4"/>
      <c r="C420" s="5"/>
      <c r="D420" s="6"/>
      <c r="E420" s="4"/>
      <c r="F420" s="4"/>
      <c r="G420" s="5"/>
      <c r="H420" s="19" t="str">
        <f>IF(Tabela2[[#This Row],[REALIZAÇÃO DO ASO]]="","",Tabela2[[#This Row],[REALIZAÇÃO DO ASO]]+365)</f>
        <v/>
      </c>
      <c r="I42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COLABORADOR]]="AFASTADO","AFASTADO",IF(D420&gt;TODAY(),_xlfn.DAYS(D420,TODAY())&amp;" Dia(s) Restante do "&amp;Tabela2[[#This Row],[STATUS COLABORADOR]],IF(D420&lt;TODAY(),"VENCIDO",IF(D420=TODAY(),"ULTIMO DIA DE CONTRATO",)))))))),"")</f>
        <v/>
      </c>
    </row>
    <row r="421" spans="1:11" x14ac:dyDescent="0.25">
      <c r="A421" s="4"/>
      <c r="B421" s="4"/>
      <c r="C421" s="5"/>
      <c r="D421" s="6"/>
      <c r="E421" s="4"/>
      <c r="F421" s="4"/>
      <c r="G421" s="5"/>
      <c r="H421" s="19" t="str">
        <f>IF(Tabela2[[#This Row],[REALIZAÇÃO DO ASO]]="","",Tabela2[[#This Row],[REALIZAÇÃO DO ASO]]+365)</f>
        <v/>
      </c>
      <c r="I42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COLABORADOR]]="AFASTADO","AFASTADO",IF(D421&gt;TODAY(),_xlfn.DAYS(D421,TODAY())&amp;" Dia(s) Restante do "&amp;Tabela2[[#This Row],[STATUS COLABORADOR]],IF(D421&lt;TODAY(),"VENCIDO",IF(D421=TODAY(),"ULTIMO DIA DE CONTRATO",)))))))),"")</f>
        <v/>
      </c>
    </row>
    <row r="422" spans="1:11" x14ac:dyDescent="0.25">
      <c r="A422" s="4"/>
      <c r="B422" s="4"/>
      <c r="C422" s="5"/>
      <c r="D422" s="6"/>
      <c r="E422" s="4"/>
      <c r="F422" s="4"/>
      <c r="G422" s="5"/>
      <c r="H422" s="19" t="str">
        <f>IF(Tabela2[[#This Row],[REALIZAÇÃO DO ASO]]="","",Tabela2[[#This Row],[REALIZAÇÃO DO ASO]]+365)</f>
        <v/>
      </c>
      <c r="I42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COLABORADOR]]="AFASTADO","AFASTADO",IF(D422&gt;TODAY(),_xlfn.DAYS(D422,TODAY())&amp;" Dia(s) Restante do "&amp;Tabela2[[#This Row],[STATUS COLABORADOR]],IF(D422&lt;TODAY(),"VENCIDO",IF(D422=TODAY(),"ULTIMO DIA DE CONTRATO",)))))))),"")</f>
        <v/>
      </c>
    </row>
    <row r="423" spans="1:11" x14ac:dyDescent="0.25">
      <c r="A423" s="4"/>
      <c r="B423" s="4"/>
      <c r="C423" s="5"/>
      <c r="D423" s="6"/>
      <c r="E423" s="4"/>
      <c r="F423" s="4"/>
      <c r="G423" s="5"/>
      <c r="H423" s="19" t="str">
        <f>IF(Tabela2[[#This Row],[REALIZAÇÃO DO ASO]]="","",Tabela2[[#This Row],[REALIZAÇÃO DO ASO]]+365)</f>
        <v/>
      </c>
      <c r="I42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COLABORADOR]]="AFASTADO","AFASTADO",IF(D423&gt;TODAY(),_xlfn.DAYS(D423,TODAY())&amp;" Dia(s) Restante do "&amp;Tabela2[[#This Row],[STATUS COLABORADOR]],IF(D423&lt;TODAY(),"VENCIDO",IF(D423=TODAY(),"ULTIMO DIA DE CONTRATO",)))))))),"")</f>
        <v/>
      </c>
    </row>
    <row r="424" spans="1:11" x14ac:dyDescent="0.25">
      <c r="A424" s="4"/>
      <c r="B424" s="4"/>
      <c r="C424" s="5"/>
      <c r="D424" s="6"/>
      <c r="E424" s="4"/>
      <c r="F424" s="4"/>
      <c r="G424" s="5"/>
      <c r="H424" s="19" t="str">
        <f>IF(Tabela2[[#This Row],[REALIZAÇÃO DO ASO]]="","",Tabela2[[#This Row],[REALIZAÇÃO DO ASO]]+365)</f>
        <v/>
      </c>
      <c r="I42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COLABORADOR]]="AFASTADO","AFASTADO",IF(D424&gt;TODAY(),_xlfn.DAYS(D424,TODAY())&amp;" Dia(s) Restante do "&amp;Tabela2[[#This Row],[STATUS COLABORADOR]],IF(D424&lt;TODAY(),"VENCIDO",IF(D424=TODAY(),"ULTIMO DIA DE CONTRATO",)))))))),"")</f>
        <v/>
      </c>
    </row>
    <row r="425" spans="1:11" x14ac:dyDescent="0.25">
      <c r="A425" s="4"/>
      <c r="B425" s="4"/>
      <c r="C425" s="5"/>
      <c r="D425" s="6"/>
      <c r="E425" s="4"/>
      <c r="F425" s="4"/>
      <c r="G425" s="5"/>
      <c r="H425" s="19" t="str">
        <f>IF(Tabela2[[#This Row],[REALIZAÇÃO DO ASO]]="","",Tabela2[[#This Row],[REALIZAÇÃO DO ASO]]+365)</f>
        <v/>
      </c>
      <c r="I42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COLABORADOR]]="AFASTADO","AFASTADO",IF(D425&gt;TODAY(),_xlfn.DAYS(D425,TODAY())&amp;" Dia(s) Restante do "&amp;Tabela2[[#This Row],[STATUS COLABORADOR]],IF(D425&lt;TODAY(),"VENCIDO",IF(D425=TODAY(),"ULTIMO DIA DE CONTRATO",)))))))),"")</f>
        <v/>
      </c>
    </row>
    <row r="426" spans="1:11" x14ac:dyDescent="0.25">
      <c r="A426" s="4"/>
      <c r="B426" s="4"/>
      <c r="C426" s="5"/>
      <c r="D426" s="6"/>
      <c r="E426" s="4"/>
      <c r="F426" s="4"/>
      <c r="G426" s="5"/>
      <c r="H426" s="19" t="str">
        <f>IF(Tabela2[[#This Row],[REALIZAÇÃO DO ASO]]="","",Tabela2[[#This Row],[REALIZAÇÃO DO ASO]]+365)</f>
        <v/>
      </c>
      <c r="I42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COLABORADOR]]="AFASTADO","AFASTADO",IF(D426&gt;TODAY(),_xlfn.DAYS(D426,TODAY())&amp;" Dia(s) Restante do "&amp;Tabela2[[#This Row],[STATUS COLABORADOR]],IF(D426&lt;TODAY(),"VENCIDO",IF(D426=TODAY(),"ULTIMO DIA DE CONTRATO",)))))))),"")</f>
        <v/>
      </c>
    </row>
    <row r="427" spans="1:11" x14ac:dyDescent="0.25">
      <c r="A427" s="4"/>
      <c r="B427" s="4"/>
      <c r="C427" s="5"/>
      <c r="D427" s="6"/>
      <c r="E427" s="4"/>
      <c r="F427" s="4"/>
      <c r="G427" s="5"/>
      <c r="H427" s="19" t="str">
        <f>IF(Tabela2[[#This Row],[REALIZAÇÃO DO ASO]]="","",Tabela2[[#This Row],[REALIZAÇÃO DO ASO]]+365)</f>
        <v/>
      </c>
      <c r="I42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COLABORADOR]]="AFASTADO","AFASTADO",IF(D427&gt;TODAY(),_xlfn.DAYS(D427,TODAY())&amp;" Dia(s) Restante do "&amp;Tabela2[[#This Row],[STATUS COLABORADOR]],IF(D427&lt;TODAY(),"VENCIDO",IF(D427=TODAY(),"ULTIMO DIA DE CONTRATO",)))))))),"")</f>
        <v/>
      </c>
    </row>
    <row r="428" spans="1:11" x14ac:dyDescent="0.25">
      <c r="A428" s="4"/>
      <c r="B428" s="4"/>
      <c r="C428" s="5"/>
      <c r="D428" s="6"/>
      <c r="E428" s="4"/>
      <c r="F428" s="4"/>
      <c r="G428" s="5"/>
      <c r="H428" s="19" t="str">
        <f>IF(Tabela2[[#This Row],[REALIZAÇÃO DO ASO]]="","",Tabela2[[#This Row],[REALIZAÇÃO DO ASO]]+365)</f>
        <v/>
      </c>
      <c r="I42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COLABORADOR]]="AFASTADO","AFASTADO",IF(D428&gt;TODAY(),_xlfn.DAYS(D428,TODAY())&amp;" Dia(s) Restante do "&amp;Tabela2[[#This Row],[STATUS COLABORADOR]],IF(D428&lt;TODAY(),"VENCIDO",IF(D428=TODAY(),"ULTIMO DIA DE CONTRATO",)))))))),"")</f>
        <v/>
      </c>
    </row>
    <row r="429" spans="1:11" x14ac:dyDescent="0.25">
      <c r="A429" s="4"/>
      <c r="B429" s="4"/>
      <c r="C429" s="5"/>
      <c r="D429" s="6"/>
      <c r="E429" s="4"/>
      <c r="F429" s="4"/>
      <c r="G429" s="5"/>
      <c r="H429" s="19" t="str">
        <f>IF(Tabela2[[#This Row],[REALIZAÇÃO DO ASO]]="","",Tabela2[[#This Row],[REALIZAÇÃO DO ASO]]+365)</f>
        <v/>
      </c>
      <c r="I42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2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2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COLABORADOR]]="AFASTADO","AFASTADO",IF(D429&gt;TODAY(),_xlfn.DAYS(D429,TODAY())&amp;" Dia(s) Restante do "&amp;Tabela2[[#This Row],[STATUS COLABORADOR]],IF(D429&lt;TODAY(),"VENCIDO",IF(D429=TODAY(),"ULTIMO DIA DE CONTRATO",)))))))),"")</f>
        <v/>
      </c>
    </row>
    <row r="430" spans="1:11" x14ac:dyDescent="0.25">
      <c r="A430" s="4"/>
      <c r="B430" s="4"/>
      <c r="C430" s="5"/>
      <c r="D430" s="6"/>
      <c r="E430" s="4"/>
      <c r="F430" s="4"/>
      <c r="G430" s="5"/>
      <c r="H430" s="19" t="str">
        <f>IF(Tabela2[[#This Row],[REALIZAÇÃO DO ASO]]="","",Tabela2[[#This Row],[REALIZAÇÃO DO ASO]]+365)</f>
        <v/>
      </c>
      <c r="I43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COLABORADOR]]="AFASTADO","AFASTADO",IF(D430&gt;TODAY(),_xlfn.DAYS(D430,TODAY())&amp;" Dia(s) Restante do "&amp;Tabela2[[#This Row],[STATUS COLABORADOR]],IF(D430&lt;TODAY(),"VENCIDO",IF(D430=TODAY(),"ULTIMO DIA DE CONTRATO",)))))))),"")</f>
        <v/>
      </c>
    </row>
    <row r="431" spans="1:11" x14ac:dyDescent="0.25">
      <c r="A431" s="4"/>
      <c r="B431" s="4"/>
      <c r="C431" s="5"/>
      <c r="D431" s="6"/>
      <c r="E431" s="4"/>
      <c r="F431" s="4"/>
      <c r="G431" s="5"/>
      <c r="H431" s="19" t="str">
        <f>IF(Tabela2[[#This Row],[REALIZAÇÃO DO ASO]]="","",Tabela2[[#This Row],[REALIZAÇÃO DO ASO]]+365)</f>
        <v/>
      </c>
      <c r="I43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COLABORADOR]]="AFASTADO","AFASTADO",IF(D431&gt;TODAY(),_xlfn.DAYS(D431,TODAY())&amp;" Dia(s) Restante do "&amp;Tabela2[[#This Row],[STATUS COLABORADOR]],IF(D431&lt;TODAY(),"VENCIDO",IF(D431=TODAY(),"ULTIMO DIA DE CONTRATO",)))))))),"")</f>
        <v/>
      </c>
    </row>
    <row r="432" spans="1:11" x14ac:dyDescent="0.25">
      <c r="A432" s="4"/>
      <c r="B432" s="4"/>
      <c r="C432" s="5"/>
      <c r="D432" s="6"/>
      <c r="E432" s="4"/>
      <c r="F432" s="4"/>
      <c r="G432" s="5"/>
      <c r="H432" s="19" t="str">
        <f>IF(Tabela2[[#This Row],[REALIZAÇÃO DO ASO]]="","",Tabela2[[#This Row],[REALIZAÇÃO DO ASO]]+365)</f>
        <v/>
      </c>
      <c r="I43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COLABORADOR]]="AFASTADO","AFASTADO",IF(D432&gt;TODAY(),_xlfn.DAYS(D432,TODAY())&amp;" Dia(s) Restante do "&amp;Tabela2[[#This Row],[STATUS COLABORADOR]],IF(D432&lt;TODAY(),"VENCIDO",IF(D432=TODAY(),"ULTIMO DIA DE CONTRATO",)))))))),"")</f>
        <v/>
      </c>
    </row>
    <row r="433" spans="1:11" x14ac:dyDescent="0.25">
      <c r="A433" s="4"/>
      <c r="B433" s="4"/>
      <c r="C433" s="5"/>
      <c r="D433" s="6"/>
      <c r="E433" s="4"/>
      <c r="F433" s="4"/>
      <c r="G433" s="5"/>
      <c r="H433" s="19" t="str">
        <f>IF(Tabela2[[#This Row],[REALIZAÇÃO DO ASO]]="","",Tabela2[[#This Row],[REALIZAÇÃO DO ASO]]+365)</f>
        <v/>
      </c>
      <c r="I43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COLABORADOR]]="AFASTADO","AFASTADO",IF(D433&gt;TODAY(),_xlfn.DAYS(D433,TODAY())&amp;" Dia(s) Restante do "&amp;Tabela2[[#This Row],[STATUS COLABORADOR]],IF(D433&lt;TODAY(),"VENCIDO",IF(D433=TODAY(),"ULTIMO DIA DE CONTRATO",)))))))),"")</f>
        <v/>
      </c>
    </row>
    <row r="434" spans="1:11" x14ac:dyDescent="0.25">
      <c r="A434" s="4"/>
      <c r="B434" s="4"/>
      <c r="C434" s="5"/>
      <c r="D434" s="6"/>
      <c r="E434" s="4"/>
      <c r="F434" s="4"/>
      <c r="G434" s="5"/>
      <c r="H434" s="19" t="str">
        <f>IF(Tabela2[[#This Row],[REALIZAÇÃO DO ASO]]="","",Tabela2[[#This Row],[REALIZAÇÃO DO ASO]]+365)</f>
        <v/>
      </c>
      <c r="I43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COLABORADOR]]="AFASTADO","AFASTADO",IF(D434&gt;TODAY(),_xlfn.DAYS(D434,TODAY())&amp;" Dia(s) Restante do "&amp;Tabela2[[#This Row],[STATUS COLABORADOR]],IF(D434&lt;TODAY(),"VENCIDO",IF(D434=TODAY(),"ULTIMO DIA DE CONTRATO",)))))))),"")</f>
        <v/>
      </c>
    </row>
    <row r="435" spans="1:11" x14ac:dyDescent="0.25">
      <c r="A435" s="4"/>
      <c r="B435" s="4"/>
      <c r="C435" s="5"/>
      <c r="D435" s="6"/>
      <c r="E435" s="4"/>
      <c r="F435" s="4"/>
      <c r="G435" s="5"/>
      <c r="H435" s="19" t="str">
        <f>IF(Tabela2[[#This Row],[REALIZAÇÃO DO ASO]]="","",Tabela2[[#This Row],[REALIZAÇÃO DO ASO]]+365)</f>
        <v/>
      </c>
      <c r="I43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COLABORADOR]]="AFASTADO","AFASTADO",IF(D435&gt;TODAY(),_xlfn.DAYS(D435,TODAY())&amp;" Dia(s) Restante do "&amp;Tabela2[[#This Row],[STATUS COLABORADOR]],IF(D435&lt;TODAY(),"VENCIDO",IF(D435=TODAY(),"ULTIMO DIA DE CONTRATO",)))))))),"")</f>
        <v/>
      </c>
    </row>
    <row r="436" spans="1:11" x14ac:dyDescent="0.25">
      <c r="A436" s="4"/>
      <c r="B436" s="4"/>
      <c r="C436" s="5"/>
      <c r="D436" s="6"/>
      <c r="E436" s="4"/>
      <c r="F436" s="4"/>
      <c r="G436" s="5"/>
      <c r="H436" s="19" t="str">
        <f>IF(Tabela2[[#This Row],[REALIZAÇÃO DO ASO]]="","",Tabela2[[#This Row],[REALIZAÇÃO DO ASO]]+365)</f>
        <v/>
      </c>
      <c r="I43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COLABORADOR]]="AFASTADO","AFASTADO",IF(D436&gt;TODAY(),_xlfn.DAYS(D436,TODAY())&amp;" Dia(s) Restante do "&amp;Tabela2[[#This Row],[STATUS COLABORADOR]],IF(D436&lt;TODAY(),"VENCIDO",IF(D436=TODAY(),"ULTIMO DIA DE CONTRATO",)))))))),"")</f>
        <v/>
      </c>
    </row>
    <row r="437" spans="1:11" x14ac:dyDescent="0.25">
      <c r="A437" s="4"/>
      <c r="B437" s="4"/>
      <c r="C437" s="5"/>
      <c r="D437" s="6"/>
      <c r="E437" s="4"/>
      <c r="F437" s="4"/>
      <c r="G437" s="5"/>
      <c r="H437" s="19" t="str">
        <f>IF(Tabela2[[#This Row],[REALIZAÇÃO DO ASO]]="","",Tabela2[[#This Row],[REALIZAÇÃO DO ASO]]+365)</f>
        <v/>
      </c>
      <c r="I43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COLABORADOR]]="AFASTADO","AFASTADO",IF(D437&gt;TODAY(),_xlfn.DAYS(D437,TODAY())&amp;" Dia(s) Restante do "&amp;Tabela2[[#This Row],[STATUS COLABORADOR]],IF(D437&lt;TODAY(),"VENCIDO",IF(D437=TODAY(),"ULTIMO DIA DE CONTRATO",)))))))),"")</f>
        <v/>
      </c>
    </row>
    <row r="438" spans="1:11" x14ac:dyDescent="0.25">
      <c r="A438" s="4"/>
      <c r="B438" s="4"/>
      <c r="C438" s="5"/>
      <c r="D438" s="6"/>
      <c r="E438" s="4"/>
      <c r="F438" s="4"/>
      <c r="G438" s="5"/>
      <c r="H438" s="19" t="str">
        <f>IF(Tabela2[[#This Row],[REALIZAÇÃO DO ASO]]="","",Tabela2[[#This Row],[REALIZAÇÃO DO ASO]]+365)</f>
        <v/>
      </c>
      <c r="I43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COLABORADOR]]="AFASTADO","AFASTADO",IF(D438&gt;TODAY(),_xlfn.DAYS(D438,TODAY())&amp;" Dia(s) Restante do "&amp;Tabela2[[#This Row],[STATUS COLABORADOR]],IF(D438&lt;TODAY(),"VENCIDO",IF(D438=TODAY(),"ULTIMO DIA DE CONTRATO",)))))))),"")</f>
        <v/>
      </c>
    </row>
    <row r="439" spans="1:11" x14ac:dyDescent="0.25">
      <c r="A439" s="4"/>
      <c r="B439" s="4"/>
      <c r="C439" s="5"/>
      <c r="D439" s="6"/>
      <c r="E439" s="4"/>
      <c r="F439" s="4"/>
      <c r="G439" s="5"/>
      <c r="H439" s="19" t="str">
        <f>IF(Tabela2[[#This Row],[REALIZAÇÃO DO ASO]]="","",Tabela2[[#This Row],[REALIZAÇÃO DO ASO]]+365)</f>
        <v/>
      </c>
      <c r="I43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3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3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COLABORADOR]]="AFASTADO","AFASTADO",IF(D439&gt;TODAY(),_xlfn.DAYS(D439,TODAY())&amp;" Dia(s) Restante do "&amp;Tabela2[[#This Row],[STATUS COLABORADOR]],IF(D439&lt;TODAY(),"VENCIDO",IF(D439=TODAY(),"ULTIMO DIA DE CONTRATO",)))))))),"")</f>
        <v/>
      </c>
    </row>
    <row r="440" spans="1:11" x14ac:dyDescent="0.25">
      <c r="A440" s="4"/>
      <c r="B440" s="4"/>
      <c r="C440" s="5"/>
      <c r="D440" s="6"/>
      <c r="E440" s="4"/>
      <c r="F440" s="4"/>
      <c r="G440" s="5"/>
      <c r="H440" s="19" t="str">
        <f>IF(Tabela2[[#This Row],[REALIZAÇÃO DO ASO]]="","",Tabela2[[#This Row],[REALIZAÇÃO DO ASO]]+365)</f>
        <v/>
      </c>
      <c r="I44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COLABORADOR]]="AFASTADO","AFASTADO",IF(D440&gt;TODAY(),_xlfn.DAYS(D440,TODAY())&amp;" Dia(s) Restante do "&amp;Tabela2[[#This Row],[STATUS COLABORADOR]],IF(D440&lt;TODAY(),"VENCIDO",IF(D440=TODAY(),"ULTIMO DIA DE CONTRATO",)))))))),"")</f>
        <v/>
      </c>
    </row>
    <row r="441" spans="1:11" x14ac:dyDescent="0.25">
      <c r="A441" s="4"/>
      <c r="B441" s="4"/>
      <c r="C441" s="5"/>
      <c r="D441" s="6"/>
      <c r="E441" s="4"/>
      <c r="F441" s="4"/>
      <c r="G441" s="5"/>
      <c r="H441" s="19" t="str">
        <f>IF(Tabela2[[#This Row],[REALIZAÇÃO DO ASO]]="","",Tabela2[[#This Row],[REALIZAÇÃO DO ASO]]+365)</f>
        <v/>
      </c>
      <c r="I44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COLABORADOR]]="AFASTADO","AFASTADO",IF(D441&gt;TODAY(),_xlfn.DAYS(D441,TODAY())&amp;" Dia(s) Restante do "&amp;Tabela2[[#This Row],[STATUS COLABORADOR]],IF(D441&lt;TODAY(),"VENCIDO",IF(D441=TODAY(),"ULTIMO DIA DE CONTRATO",)))))))),"")</f>
        <v/>
      </c>
    </row>
    <row r="442" spans="1:11" x14ac:dyDescent="0.25">
      <c r="A442" s="4"/>
      <c r="B442" s="4"/>
      <c r="C442" s="5"/>
      <c r="D442" s="6"/>
      <c r="E442" s="4"/>
      <c r="F442" s="4"/>
      <c r="G442" s="5"/>
      <c r="H442" s="19" t="str">
        <f>IF(Tabela2[[#This Row],[REALIZAÇÃO DO ASO]]="","",Tabela2[[#This Row],[REALIZAÇÃO DO ASO]]+365)</f>
        <v/>
      </c>
      <c r="I44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COLABORADOR]]="AFASTADO","AFASTADO",IF(D442&gt;TODAY(),_xlfn.DAYS(D442,TODAY())&amp;" Dia(s) Restante do "&amp;Tabela2[[#This Row],[STATUS COLABORADOR]],IF(D442&lt;TODAY(),"VENCIDO",IF(D442=TODAY(),"ULTIMO DIA DE CONTRATO",)))))))),"")</f>
        <v/>
      </c>
    </row>
    <row r="443" spans="1:11" x14ac:dyDescent="0.25">
      <c r="A443" s="4"/>
      <c r="B443" s="4"/>
      <c r="C443" s="5"/>
      <c r="D443" s="6"/>
      <c r="E443" s="4"/>
      <c r="F443" s="4"/>
      <c r="G443" s="5"/>
      <c r="H443" s="19" t="str">
        <f>IF(Tabela2[[#This Row],[REALIZAÇÃO DO ASO]]="","",Tabela2[[#This Row],[REALIZAÇÃO DO ASO]]+365)</f>
        <v/>
      </c>
      <c r="I44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COLABORADOR]]="AFASTADO","AFASTADO",IF(D443&gt;TODAY(),_xlfn.DAYS(D443,TODAY())&amp;" Dia(s) Restante do "&amp;Tabela2[[#This Row],[STATUS COLABORADOR]],IF(D443&lt;TODAY(),"VENCIDO",IF(D443=TODAY(),"ULTIMO DIA DE CONTRATO",)))))))),"")</f>
        <v/>
      </c>
    </row>
    <row r="444" spans="1:11" x14ac:dyDescent="0.25">
      <c r="A444" s="4"/>
      <c r="B444" s="4"/>
      <c r="C444" s="5"/>
      <c r="D444" s="6"/>
      <c r="E444" s="4"/>
      <c r="F444" s="4"/>
      <c r="G444" s="5"/>
      <c r="H444" s="19" t="str">
        <f>IF(Tabela2[[#This Row],[REALIZAÇÃO DO ASO]]="","",Tabela2[[#This Row],[REALIZAÇÃO DO ASO]]+365)</f>
        <v/>
      </c>
      <c r="I44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COLABORADOR]]="AFASTADO","AFASTADO",IF(D444&gt;TODAY(),_xlfn.DAYS(D444,TODAY())&amp;" Dia(s) Restante do "&amp;Tabela2[[#This Row],[STATUS COLABORADOR]],IF(D444&lt;TODAY(),"VENCIDO",IF(D444=TODAY(),"ULTIMO DIA DE CONTRATO",)))))))),"")</f>
        <v/>
      </c>
    </row>
    <row r="445" spans="1:11" x14ac:dyDescent="0.25">
      <c r="A445" s="4"/>
      <c r="B445" s="4"/>
      <c r="C445" s="5"/>
      <c r="D445" s="6"/>
      <c r="E445" s="4"/>
      <c r="F445" s="4"/>
      <c r="G445" s="5"/>
      <c r="H445" s="19" t="str">
        <f>IF(Tabela2[[#This Row],[REALIZAÇÃO DO ASO]]="","",Tabela2[[#This Row],[REALIZAÇÃO DO ASO]]+365)</f>
        <v/>
      </c>
      <c r="I44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COLABORADOR]]="AFASTADO","AFASTADO",IF(D445&gt;TODAY(),_xlfn.DAYS(D445,TODAY())&amp;" Dia(s) Restante do "&amp;Tabela2[[#This Row],[STATUS COLABORADOR]],IF(D445&lt;TODAY(),"VENCIDO",IF(D445=TODAY(),"ULTIMO DIA DE CONTRATO",)))))))),"")</f>
        <v/>
      </c>
    </row>
    <row r="446" spans="1:11" x14ac:dyDescent="0.25">
      <c r="A446" s="4"/>
      <c r="B446" s="4"/>
      <c r="C446" s="5"/>
      <c r="D446" s="6"/>
      <c r="E446" s="4"/>
      <c r="F446" s="4"/>
      <c r="G446" s="5"/>
      <c r="H446" s="19" t="str">
        <f>IF(Tabela2[[#This Row],[REALIZAÇÃO DO ASO]]="","",Tabela2[[#This Row],[REALIZAÇÃO DO ASO]]+365)</f>
        <v/>
      </c>
      <c r="I44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COLABORADOR]]="AFASTADO","AFASTADO",IF(D446&gt;TODAY(),_xlfn.DAYS(D446,TODAY())&amp;" Dia(s) Restante do "&amp;Tabela2[[#This Row],[STATUS COLABORADOR]],IF(D446&lt;TODAY(),"VENCIDO",IF(D446=TODAY(),"ULTIMO DIA DE CONTRATO",)))))))),"")</f>
        <v/>
      </c>
    </row>
    <row r="447" spans="1:11" x14ac:dyDescent="0.25">
      <c r="A447" s="4"/>
      <c r="B447" s="4"/>
      <c r="C447" s="5"/>
      <c r="D447" s="6"/>
      <c r="E447" s="4"/>
      <c r="F447" s="4"/>
      <c r="G447" s="5"/>
      <c r="H447" s="19" t="str">
        <f>IF(Tabela2[[#This Row],[REALIZAÇÃO DO ASO]]="","",Tabela2[[#This Row],[REALIZAÇÃO DO ASO]]+365)</f>
        <v/>
      </c>
      <c r="I44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COLABORADOR]]="AFASTADO","AFASTADO",IF(D447&gt;TODAY(),_xlfn.DAYS(D447,TODAY())&amp;" Dia(s) Restante do "&amp;Tabela2[[#This Row],[STATUS COLABORADOR]],IF(D447&lt;TODAY(),"VENCIDO",IF(D447=TODAY(),"ULTIMO DIA DE CONTRATO",)))))))),"")</f>
        <v/>
      </c>
    </row>
    <row r="448" spans="1:11" x14ac:dyDescent="0.25">
      <c r="A448" s="4"/>
      <c r="B448" s="4"/>
      <c r="C448" s="5"/>
      <c r="D448" s="6"/>
      <c r="E448" s="4"/>
      <c r="F448" s="4"/>
      <c r="G448" s="5"/>
      <c r="H448" s="19" t="str">
        <f>IF(Tabela2[[#This Row],[REALIZAÇÃO DO ASO]]="","",Tabela2[[#This Row],[REALIZAÇÃO DO ASO]]+365)</f>
        <v/>
      </c>
      <c r="I44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COLABORADOR]]="AFASTADO","AFASTADO",IF(D448&gt;TODAY(),_xlfn.DAYS(D448,TODAY())&amp;" Dia(s) Restante do "&amp;Tabela2[[#This Row],[STATUS COLABORADOR]],IF(D448&lt;TODAY(),"VENCIDO",IF(D448=TODAY(),"ULTIMO DIA DE CONTRATO",)))))))),"")</f>
        <v/>
      </c>
    </row>
    <row r="449" spans="1:11" x14ac:dyDescent="0.25">
      <c r="A449" s="4"/>
      <c r="B449" s="4"/>
      <c r="C449" s="5"/>
      <c r="D449" s="6"/>
      <c r="E449" s="4"/>
      <c r="F449" s="4"/>
      <c r="G449" s="5"/>
      <c r="H449" s="19" t="str">
        <f>IF(Tabela2[[#This Row],[REALIZAÇÃO DO ASO]]="","",Tabela2[[#This Row],[REALIZAÇÃO DO ASO]]+365)</f>
        <v/>
      </c>
      <c r="I44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4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4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COLABORADOR]]="AFASTADO","AFASTADO",IF(D449&gt;TODAY(),_xlfn.DAYS(D449,TODAY())&amp;" Dia(s) Restante do "&amp;Tabela2[[#This Row],[STATUS COLABORADOR]],IF(D449&lt;TODAY(),"VENCIDO",IF(D449=TODAY(),"ULTIMO DIA DE CONTRATO",)))))))),"")</f>
        <v/>
      </c>
    </row>
    <row r="450" spans="1:11" x14ac:dyDescent="0.25">
      <c r="A450" s="4"/>
      <c r="B450" s="4"/>
      <c r="C450" s="5"/>
      <c r="D450" s="6"/>
      <c r="E450" s="4"/>
      <c r="F450" s="4"/>
      <c r="G450" s="5"/>
      <c r="H450" s="19" t="str">
        <f>IF(Tabela2[[#This Row],[REALIZAÇÃO DO ASO]]="","",Tabela2[[#This Row],[REALIZAÇÃO DO ASO]]+365)</f>
        <v/>
      </c>
      <c r="I45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COLABORADOR]]="AFASTADO","AFASTADO",IF(D450&gt;TODAY(),_xlfn.DAYS(D450,TODAY())&amp;" Dia(s) Restante do "&amp;Tabela2[[#This Row],[STATUS COLABORADOR]],IF(D450&lt;TODAY(),"VENCIDO",IF(D450=TODAY(),"ULTIMO DIA DE CONTRATO",)))))))),"")</f>
        <v/>
      </c>
    </row>
    <row r="451" spans="1:11" x14ac:dyDescent="0.25">
      <c r="A451" s="4"/>
      <c r="B451" s="4"/>
      <c r="C451" s="5"/>
      <c r="D451" s="6"/>
      <c r="E451" s="4"/>
      <c r="F451" s="4"/>
      <c r="G451" s="5"/>
      <c r="H451" s="19" t="str">
        <f>IF(Tabela2[[#This Row],[REALIZAÇÃO DO ASO]]="","",Tabela2[[#This Row],[REALIZAÇÃO DO ASO]]+365)</f>
        <v/>
      </c>
      <c r="I45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COLABORADOR]]="AFASTADO","AFASTADO",IF(D451&gt;TODAY(),_xlfn.DAYS(D451,TODAY())&amp;" Dia(s) Restante do "&amp;Tabela2[[#This Row],[STATUS COLABORADOR]],IF(D451&lt;TODAY(),"VENCIDO",IF(D451=TODAY(),"ULTIMO DIA DE CONTRATO",)))))))),"")</f>
        <v/>
      </c>
    </row>
    <row r="452" spans="1:11" x14ac:dyDescent="0.25">
      <c r="A452" s="4"/>
      <c r="B452" s="4"/>
      <c r="C452" s="5"/>
      <c r="D452" s="6"/>
      <c r="E452" s="4"/>
      <c r="F452" s="4"/>
      <c r="G452" s="5"/>
      <c r="H452" s="19" t="str">
        <f>IF(Tabela2[[#This Row],[REALIZAÇÃO DO ASO]]="","",Tabela2[[#This Row],[REALIZAÇÃO DO ASO]]+365)</f>
        <v/>
      </c>
      <c r="I45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COLABORADOR]]="AFASTADO","AFASTADO",IF(D452&gt;TODAY(),_xlfn.DAYS(D452,TODAY())&amp;" Dia(s) Restante do "&amp;Tabela2[[#This Row],[STATUS COLABORADOR]],IF(D452&lt;TODAY(),"VENCIDO",IF(D452=TODAY(),"ULTIMO DIA DE CONTRATO",)))))))),"")</f>
        <v/>
      </c>
    </row>
    <row r="453" spans="1:11" x14ac:dyDescent="0.25">
      <c r="A453" s="4"/>
      <c r="B453" s="4"/>
      <c r="C453" s="5"/>
      <c r="D453" s="6"/>
      <c r="E453" s="4"/>
      <c r="F453" s="4"/>
      <c r="G453" s="5"/>
      <c r="H453" s="19" t="str">
        <f>IF(Tabela2[[#This Row],[REALIZAÇÃO DO ASO]]="","",Tabela2[[#This Row],[REALIZAÇÃO DO ASO]]+365)</f>
        <v/>
      </c>
      <c r="I45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COLABORADOR]]="AFASTADO","AFASTADO",IF(D453&gt;TODAY(),_xlfn.DAYS(D453,TODAY())&amp;" Dia(s) Restante do "&amp;Tabela2[[#This Row],[STATUS COLABORADOR]],IF(D453&lt;TODAY(),"VENCIDO",IF(D453=TODAY(),"ULTIMO DIA DE CONTRATO",)))))))),"")</f>
        <v/>
      </c>
    </row>
    <row r="454" spans="1:11" x14ac:dyDescent="0.25">
      <c r="A454" s="4"/>
      <c r="B454" s="4"/>
      <c r="C454" s="5"/>
      <c r="D454" s="6"/>
      <c r="E454" s="4"/>
      <c r="F454" s="4"/>
      <c r="G454" s="5"/>
      <c r="H454" s="19" t="str">
        <f>IF(Tabela2[[#This Row],[REALIZAÇÃO DO ASO]]="","",Tabela2[[#This Row],[REALIZAÇÃO DO ASO]]+365)</f>
        <v/>
      </c>
      <c r="I45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COLABORADOR]]="AFASTADO","AFASTADO",IF(D454&gt;TODAY(),_xlfn.DAYS(D454,TODAY())&amp;" Dia(s) Restante do "&amp;Tabela2[[#This Row],[STATUS COLABORADOR]],IF(D454&lt;TODAY(),"VENCIDO",IF(D454=TODAY(),"ULTIMO DIA DE CONTRATO",)))))))),"")</f>
        <v/>
      </c>
    </row>
    <row r="455" spans="1:11" x14ac:dyDescent="0.25">
      <c r="A455" s="4"/>
      <c r="B455" s="4"/>
      <c r="C455" s="5"/>
      <c r="D455" s="6"/>
      <c r="E455" s="4"/>
      <c r="F455" s="4"/>
      <c r="G455" s="5"/>
      <c r="H455" s="19" t="str">
        <f>IF(Tabela2[[#This Row],[REALIZAÇÃO DO ASO]]="","",Tabela2[[#This Row],[REALIZAÇÃO DO ASO]]+365)</f>
        <v/>
      </c>
      <c r="I45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COLABORADOR]]="AFASTADO","AFASTADO",IF(D455&gt;TODAY(),_xlfn.DAYS(D455,TODAY())&amp;" Dia(s) Restante do "&amp;Tabela2[[#This Row],[STATUS COLABORADOR]],IF(D455&lt;TODAY(),"VENCIDO",IF(D455=TODAY(),"ULTIMO DIA DE CONTRATO",)))))))),"")</f>
        <v/>
      </c>
    </row>
    <row r="456" spans="1:11" x14ac:dyDescent="0.25">
      <c r="A456" s="4"/>
      <c r="B456" s="4"/>
      <c r="C456" s="5"/>
      <c r="D456" s="6"/>
      <c r="E456" s="4"/>
      <c r="F456" s="4"/>
      <c r="G456" s="5"/>
      <c r="H456" s="19" t="str">
        <f>IF(Tabela2[[#This Row],[REALIZAÇÃO DO ASO]]="","",Tabela2[[#This Row],[REALIZAÇÃO DO ASO]]+365)</f>
        <v/>
      </c>
      <c r="I45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COLABORADOR]]="AFASTADO","AFASTADO",IF(D456&gt;TODAY(),_xlfn.DAYS(D456,TODAY())&amp;" Dia(s) Restante do "&amp;Tabela2[[#This Row],[STATUS COLABORADOR]],IF(D456&lt;TODAY(),"VENCIDO",IF(D456=TODAY(),"ULTIMO DIA DE CONTRATO",)))))))),"")</f>
        <v/>
      </c>
    </row>
    <row r="457" spans="1:11" x14ac:dyDescent="0.25">
      <c r="A457" s="4"/>
      <c r="B457" s="4"/>
      <c r="C457" s="5"/>
      <c r="D457" s="6"/>
      <c r="E457" s="4"/>
      <c r="F457" s="4"/>
      <c r="G457" s="5"/>
      <c r="H457" s="19" t="str">
        <f>IF(Tabela2[[#This Row],[REALIZAÇÃO DO ASO]]="","",Tabela2[[#This Row],[REALIZAÇÃO DO ASO]]+365)</f>
        <v/>
      </c>
      <c r="I45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COLABORADOR]]="AFASTADO","AFASTADO",IF(D457&gt;TODAY(),_xlfn.DAYS(D457,TODAY())&amp;" Dia(s) Restante do "&amp;Tabela2[[#This Row],[STATUS COLABORADOR]],IF(D457&lt;TODAY(),"VENCIDO",IF(D457=TODAY(),"ULTIMO DIA DE CONTRATO",)))))))),"")</f>
        <v/>
      </c>
    </row>
    <row r="458" spans="1:11" x14ac:dyDescent="0.25">
      <c r="A458" s="4"/>
      <c r="B458" s="4"/>
      <c r="C458" s="5"/>
      <c r="D458" s="6"/>
      <c r="E458" s="4"/>
      <c r="F458" s="4"/>
      <c r="G458" s="5"/>
      <c r="H458" s="19" t="str">
        <f>IF(Tabela2[[#This Row],[REALIZAÇÃO DO ASO]]="","",Tabela2[[#This Row],[REALIZAÇÃO DO ASO]]+365)</f>
        <v/>
      </c>
      <c r="I45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COLABORADOR]]="AFASTADO","AFASTADO",IF(D458&gt;TODAY(),_xlfn.DAYS(D458,TODAY())&amp;" Dia(s) Restante do "&amp;Tabela2[[#This Row],[STATUS COLABORADOR]],IF(D458&lt;TODAY(),"VENCIDO",IF(D458=TODAY(),"ULTIMO DIA DE CONTRATO",)))))))),"")</f>
        <v/>
      </c>
    </row>
    <row r="459" spans="1:11" x14ac:dyDescent="0.25">
      <c r="A459" s="4"/>
      <c r="B459" s="4"/>
      <c r="C459" s="5"/>
      <c r="D459" s="6"/>
      <c r="E459" s="4"/>
      <c r="F459" s="4"/>
      <c r="G459" s="5"/>
      <c r="H459" s="19" t="str">
        <f>IF(Tabela2[[#This Row],[REALIZAÇÃO DO ASO]]="","",Tabela2[[#This Row],[REALIZAÇÃO DO ASO]]+365)</f>
        <v/>
      </c>
      <c r="I45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5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5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COLABORADOR]]="AFASTADO","AFASTADO",IF(D459&gt;TODAY(),_xlfn.DAYS(D459,TODAY())&amp;" Dia(s) Restante do "&amp;Tabela2[[#This Row],[STATUS COLABORADOR]],IF(D459&lt;TODAY(),"VENCIDO",IF(D459=TODAY(),"ULTIMO DIA DE CONTRATO",)))))))),"")</f>
        <v/>
      </c>
    </row>
    <row r="460" spans="1:11" x14ac:dyDescent="0.25">
      <c r="A460" s="4"/>
      <c r="B460" s="4"/>
      <c r="C460" s="5"/>
      <c r="D460" s="6"/>
      <c r="E460" s="4"/>
      <c r="F460" s="4"/>
      <c r="G460" s="5"/>
      <c r="H460" s="19" t="str">
        <f>IF(Tabela2[[#This Row],[REALIZAÇÃO DO ASO]]="","",Tabela2[[#This Row],[REALIZAÇÃO DO ASO]]+365)</f>
        <v/>
      </c>
      <c r="I46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COLABORADOR]]="AFASTADO","AFASTADO",IF(D460&gt;TODAY(),_xlfn.DAYS(D460,TODAY())&amp;" Dia(s) Restante do "&amp;Tabela2[[#This Row],[STATUS COLABORADOR]],IF(D460&lt;TODAY(),"VENCIDO",IF(D460=TODAY(),"ULTIMO DIA DE CONTRATO",)))))))),"")</f>
        <v/>
      </c>
    </row>
    <row r="461" spans="1:11" x14ac:dyDescent="0.25">
      <c r="A461" s="4"/>
      <c r="B461" s="4"/>
      <c r="C461" s="5"/>
      <c r="D461" s="6"/>
      <c r="E461" s="4"/>
      <c r="F461" s="4"/>
      <c r="G461" s="5"/>
      <c r="H461" s="19" t="str">
        <f>IF(Tabela2[[#This Row],[REALIZAÇÃO DO ASO]]="","",Tabela2[[#This Row],[REALIZAÇÃO DO ASO]]+365)</f>
        <v/>
      </c>
      <c r="I46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COLABORADOR]]="AFASTADO","AFASTADO",IF(D461&gt;TODAY(),_xlfn.DAYS(D461,TODAY())&amp;" Dia(s) Restante do "&amp;Tabela2[[#This Row],[STATUS COLABORADOR]],IF(D461&lt;TODAY(),"VENCIDO",IF(D461=TODAY(),"ULTIMO DIA DE CONTRATO",)))))))),"")</f>
        <v/>
      </c>
    </row>
    <row r="462" spans="1:11" x14ac:dyDescent="0.25">
      <c r="A462" s="4"/>
      <c r="B462" s="4"/>
      <c r="C462" s="5"/>
      <c r="D462" s="6"/>
      <c r="E462" s="4"/>
      <c r="F462" s="4"/>
      <c r="G462" s="5"/>
      <c r="H462" s="19" t="str">
        <f>IF(Tabela2[[#This Row],[REALIZAÇÃO DO ASO]]="","",Tabela2[[#This Row],[REALIZAÇÃO DO ASO]]+365)</f>
        <v/>
      </c>
      <c r="I46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COLABORADOR]]="AFASTADO","AFASTADO",IF(D462&gt;TODAY(),_xlfn.DAYS(D462,TODAY())&amp;" Dia(s) Restante do "&amp;Tabela2[[#This Row],[STATUS COLABORADOR]],IF(D462&lt;TODAY(),"VENCIDO",IF(D462=TODAY(),"ULTIMO DIA DE CONTRATO",)))))))),"")</f>
        <v/>
      </c>
    </row>
    <row r="463" spans="1:11" x14ac:dyDescent="0.25">
      <c r="A463" s="4"/>
      <c r="B463" s="4"/>
      <c r="C463" s="5"/>
      <c r="D463" s="6"/>
      <c r="E463" s="4"/>
      <c r="F463" s="4"/>
      <c r="G463" s="5"/>
      <c r="H463" s="19" t="str">
        <f>IF(Tabela2[[#This Row],[REALIZAÇÃO DO ASO]]="","",Tabela2[[#This Row],[REALIZAÇÃO DO ASO]]+365)</f>
        <v/>
      </c>
      <c r="I46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COLABORADOR]]="AFASTADO","AFASTADO",IF(D463&gt;TODAY(),_xlfn.DAYS(D463,TODAY())&amp;" Dia(s) Restante do "&amp;Tabela2[[#This Row],[STATUS COLABORADOR]],IF(D463&lt;TODAY(),"VENCIDO",IF(D463=TODAY(),"ULTIMO DIA DE CONTRATO",)))))))),"")</f>
        <v/>
      </c>
    </row>
    <row r="464" spans="1:11" x14ac:dyDescent="0.25">
      <c r="A464" s="4"/>
      <c r="B464" s="4"/>
      <c r="C464" s="5"/>
      <c r="D464" s="6"/>
      <c r="E464" s="4"/>
      <c r="F464" s="4"/>
      <c r="G464" s="5"/>
      <c r="H464" s="19" t="str">
        <f>IF(Tabela2[[#This Row],[REALIZAÇÃO DO ASO]]="","",Tabela2[[#This Row],[REALIZAÇÃO DO ASO]]+365)</f>
        <v/>
      </c>
      <c r="I46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COLABORADOR]]="AFASTADO","AFASTADO",IF(D464&gt;TODAY(),_xlfn.DAYS(D464,TODAY())&amp;" Dia(s) Restante do "&amp;Tabela2[[#This Row],[STATUS COLABORADOR]],IF(D464&lt;TODAY(),"VENCIDO",IF(D464=TODAY(),"ULTIMO DIA DE CONTRATO",)))))))),"")</f>
        <v/>
      </c>
    </row>
    <row r="465" spans="1:11" x14ac:dyDescent="0.25">
      <c r="A465" s="4"/>
      <c r="B465" s="4"/>
      <c r="C465" s="5"/>
      <c r="D465" s="6"/>
      <c r="E465" s="4"/>
      <c r="F465" s="4"/>
      <c r="G465" s="5"/>
      <c r="H465" s="19" t="str">
        <f>IF(Tabela2[[#This Row],[REALIZAÇÃO DO ASO]]="","",Tabela2[[#This Row],[REALIZAÇÃO DO ASO]]+365)</f>
        <v/>
      </c>
      <c r="I46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COLABORADOR]]="AFASTADO","AFASTADO",IF(D465&gt;TODAY(),_xlfn.DAYS(D465,TODAY())&amp;" Dia(s) Restante do "&amp;Tabela2[[#This Row],[STATUS COLABORADOR]],IF(D465&lt;TODAY(),"VENCIDO",IF(D465=TODAY(),"ULTIMO DIA DE CONTRATO",)))))))),"")</f>
        <v/>
      </c>
    </row>
    <row r="466" spans="1:11" x14ac:dyDescent="0.25">
      <c r="A466" s="4"/>
      <c r="B466" s="4"/>
      <c r="C466" s="5"/>
      <c r="D466" s="6"/>
      <c r="E466" s="4"/>
      <c r="F466" s="4"/>
      <c r="G466" s="5"/>
      <c r="H466" s="19" t="str">
        <f>IF(Tabela2[[#This Row],[REALIZAÇÃO DO ASO]]="","",Tabela2[[#This Row],[REALIZAÇÃO DO ASO]]+365)</f>
        <v/>
      </c>
      <c r="I46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COLABORADOR]]="AFASTADO","AFASTADO",IF(D466&gt;TODAY(),_xlfn.DAYS(D466,TODAY())&amp;" Dia(s) Restante do "&amp;Tabela2[[#This Row],[STATUS COLABORADOR]],IF(D466&lt;TODAY(),"VENCIDO",IF(D466=TODAY(),"ULTIMO DIA DE CONTRATO",)))))))),"")</f>
        <v/>
      </c>
    </row>
    <row r="467" spans="1:11" x14ac:dyDescent="0.25">
      <c r="A467" s="4"/>
      <c r="B467" s="4"/>
      <c r="C467" s="5"/>
      <c r="D467" s="6"/>
      <c r="E467" s="4"/>
      <c r="F467" s="4"/>
      <c r="G467" s="5"/>
      <c r="H467" s="19" t="str">
        <f>IF(Tabela2[[#This Row],[REALIZAÇÃO DO ASO]]="","",Tabela2[[#This Row],[REALIZAÇÃO DO ASO]]+365)</f>
        <v/>
      </c>
      <c r="I46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COLABORADOR]]="AFASTADO","AFASTADO",IF(D467&gt;TODAY(),_xlfn.DAYS(D467,TODAY())&amp;" Dia(s) Restante do "&amp;Tabela2[[#This Row],[STATUS COLABORADOR]],IF(D467&lt;TODAY(),"VENCIDO",IF(D467=TODAY(),"ULTIMO DIA DE CONTRATO",)))))))),"")</f>
        <v/>
      </c>
    </row>
    <row r="468" spans="1:11" x14ac:dyDescent="0.25">
      <c r="A468" s="4"/>
      <c r="B468" s="4"/>
      <c r="C468" s="5"/>
      <c r="D468" s="6"/>
      <c r="E468" s="4"/>
      <c r="F468" s="4"/>
      <c r="G468" s="5"/>
      <c r="H468" s="19" t="str">
        <f>IF(Tabela2[[#This Row],[REALIZAÇÃO DO ASO]]="","",Tabela2[[#This Row],[REALIZAÇÃO DO ASO]]+365)</f>
        <v/>
      </c>
      <c r="I46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COLABORADOR]]="AFASTADO","AFASTADO",IF(D468&gt;TODAY(),_xlfn.DAYS(D468,TODAY())&amp;" Dia(s) Restante do "&amp;Tabela2[[#This Row],[STATUS COLABORADOR]],IF(D468&lt;TODAY(),"VENCIDO",IF(D468=TODAY(),"ULTIMO DIA DE CONTRATO",)))))))),"")</f>
        <v/>
      </c>
    </row>
    <row r="469" spans="1:11" x14ac:dyDescent="0.25">
      <c r="A469" s="4"/>
      <c r="B469" s="4"/>
      <c r="C469" s="5"/>
      <c r="D469" s="6"/>
      <c r="E469" s="4"/>
      <c r="F469" s="4"/>
      <c r="G469" s="5"/>
      <c r="H469" s="19" t="str">
        <f>IF(Tabela2[[#This Row],[REALIZAÇÃO DO ASO]]="","",Tabela2[[#This Row],[REALIZAÇÃO DO ASO]]+365)</f>
        <v/>
      </c>
      <c r="I46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6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6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COLABORADOR]]="AFASTADO","AFASTADO",IF(D469&gt;TODAY(),_xlfn.DAYS(D469,TODAY())&amp;" Dia(s) Restante do "&amp;Tabela2[[#This Row],[STATUS COLABORADOR]],IF(D469&lt;TODAY(),"VENCIDO",IF(D469=TODAY(),"ULTIMO DIA DE CONTRATO",)))))))),"")</f>
        <v/>
      </c>
    </row>
    <row r="470" spans="1:11" x14ac:dyDescent="0.25">
      <c r="A470" s="4"/>
      <c r="B470" s="4"/>
      <c r="C470" s="5"/>
      <c r="D470" s="6"/>
      <c r="E470" s="4"/>
      <c r="F470" s="4"/>
      <c r="G470" s="5"/>
      <c r="H470" s="19" t="str">
        <f>IF(Tabela2[[#This Row],[REALIZAÇÃO DO ASO]]="","",Tabela2[[#This Row],[REALIZAÇÃO DO ASO]]+365)</f>
        <v/>
      </c>
      <c r="I47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COLABORADOR]]="AFASTADO","AFASTADO",IF(D470&gt;TODAY(),_xlfn.DAYS(D470,TODAY())&amp;" Dia(s) Restante do "&amp;Tabela2[[#This Row],[STATUS COLABORADOR]],IF(D470&lt;TODAY(),"VENCIDO",IF(D470=TODAY(),"ULTIMO DIA DE CONTRATO",)))))))),"")</f>
        <v/>
      </c>
    </row>
    <row r="471" spans="1:11" x14ac:dyDescent="0.25">
      <c r="A471" s="4"/>
      <c r="B471" s="4"/>
      <c r="C471" s="5"/>
      <c r="D471" s="6"/>
      <c r="E471" s="4"/>
      <c r="F471" s="4"/>
      <c r="G471" s="5"/>
      <c r="H471" s="19" t="str">
        <f>IF(Tabela2[[#This Row],[REALIZAÇÃO DO ASO]]="","",Tabela2[[#This Row],[REALIZAÇÃO DO ASO]]+365)</f>
        <v/>
      </c>
      <c r="I47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COLABORADOR]]="AFASTADO","AFASTADO",IF(D471&gt;TODAY(),_xlfn.DAYS(D471,TODAY())&amp;" Dia(s) Restante do "&amp;Tabela2[[#This Row],[STATUS COLABORADOR]],IF(D471&lt;TODAY(),"VENCIDO",IF(D471=TODAY(),"ULTIMO DIA DE CONTRATO",)))))))),"")</f>
        <v/>
      </c>
    </row>
    <row r="472" spans="1:11" x14ac:dyDescent="0.25">
      <c r="A472" s="4"/>
      <c r="B472" s="4"/>
      <c r="C472" s="5"/>
      <c r="D472" s="6"/>
      <c r="E472" s="4"/>
      <c r="F472" s="4"/>
      <c r="G472" s="5"/>
      <c r="H472" s="19" t="str">
        <f>IF(Tabela2[[#This Row],[REALIZAÇÃO DO ASO]]="","",Tabela2[[#This Row],[REALIZAÇÃO DO ASO]]+365)</f>
        <v/>
      </c>
      <c r="I47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COLABORADOR]]="AFASTADO","AFASTADO",IF(D472&gt;TODAY(),_xlfn.DAYS(D472,TODAY())&amp;" Dia(s) Restante do "&amp;Tabela2[[#This Row],[STATUS COLABORADOR]],IF(D472&lt;TODAY(),"VENCIDO",IF(D472=TODAY(),"ULTIMO DIA DE CONTRATO",)))))))),"")</f>
        <v/>
      </c>
    </row>
    <row r="473" spans="1:11" x14ac:dyDescent="0.25">
      <c r="A473" s="4"/>
      <c r="B473" s="4"/>
      <c r="C473" s="5"/>
      <c r="D473" s="6"/>
      <c r="E473" s="4"/>
      <c r="F473" s="4"/>
      <c r="G473" s="5"/>
      <c r="H473" s="19" t="str">
        <f>IF(Tabela2[[#This Row],[REALIZAÇÃO DO ASO]]="","",Tabela2[[#This Row],[REALIZAÇÃO DO ASO]]+365)</f>
        <v/>
      </c>
      <c r="I47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COLABORADOR]]="AFASTADO","AFASTADO",IF(D473&gt;TODAY(),_xlfn.DAYS(D473,TODAY())&amp;" Dia(s) Restante do "&amp;Tabela2[[#This Row],[STATUS COLABORADOR]],IF(D473&lt;TODAY(),"VENCIDO",IF(D473=TODAY(),"ULTIMO DIA DE CONTRATO",)))))))),"")</f>
        <v/>
      </c>
    </row>
    <row r="474" spans="1:11" x14ac:dyDescent="0.25">
      <c r="A474" s="4"/>
      <c r="B474" s="4"/>
      <c r="C474" s="5"/>
      <c r="D474" s="6"/>
      <c r="E474" s="4"/>
      <c r="F474" s="4"/>
      <c r="G474" s="5"/>
      <c r="H474" s="19" t="str">
        <f>IF(Tabela2[[#This Row],[REALIZAÇÃO DO ASO]]="","",Tabela2[[#This Row],[REALIZAÇÃO DO ASO]]+365)</f>
        <v/>
      </c>
      <c r="I47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COLABORADOR]]="AFASTADO","AFASTADO",IF(D474&gt;TODAY(),_xlfn.DAYS(D474,TODAY())&amp;" Dia(s) Restante do "&amp;Tabela2[[#This Row],[STATUS COLABORADOR]],IF(D474&lt;TODAY(),"VENCIDO",IF(D474=TODAY(),"ULTIMO DIA DE CONTRATO",)))))))),"")</f>
        <v/>
      </c>
    </row>
    <row r="475" spans="1:11" x14ac:dyDescent="0.25">
      <c r="A475" s="4"/>
      <c r="B475" s="4"/>
      <c r="C475" s="5"/>
      <c r="D475" s="6"/>
      <c r="E475" s="4"/>
      <c r="F475" s="4"/>
      <c r="G475" s="5"/>
      <c r="H475" s="19" t="str">
        <f>IF(Tabela2[[#This Row],[REALIZAÇÃO DO ASO]]="","",Tabela2[[#This Row],[REALIZAÇÃO DO ASO]]+365)</f>
        <v/>
      </c>
      <c r="I47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COLABORADOR]]="AFASTADO","AFASTADO",IF(D475&gt;TODAY(),_xlfn.DAYS(D475,TODAY())&amp;" Dia(s) Restante do "&amp;Tabela2[[#This Row],[STATUS COLABORADOR]],IF(D475&lt;TODAY(),"VENCIDO",IF(D475=TODAY(),"ULTIMO DIA DE CONTRATO",)))))))),"")</f>
        <v/>
      </c>
    </row>
    <row r="476" spans="1:11" x14ac:dyDescent="0.25">
      <c r="A476" s="4"/>
      <c r="B476" s="4"/>
      <c r="C476" s="5"/>
      <c r="D476" s="6"/>
      <c r="E476" s="4"/>
      <c r="F476" s="4"/>
      <c r="G476" s="5"/>
      <c r="H476" s="19" t="str">
        <f>IF(Tabela2[[#This Row],[REALIZAÇÃO DO ASO]]="","",Tabela2[[#This Row],[REALIZAÇÃO DO ASO]]+365)</f>
        <v/>
      </c>
      <c r="I47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COLABORADOR]]="AFASTADO","AFASTADO",IF(D476&gt;TODAY(),_xlfn.DAYS(D476,TODAY())&amp;" Dia(s) Restante do "&amp;Tabela2[[#This Row],[STATUS COLABORADOR]],IF(D476&lt;TODAY(),"VENCIDO",IF(D476=TODAY(),"ULTIMO DIA DE CONTRATO",)))))))),"")</f>
        <v/>
      </c>
    </row>
    <row r="477" spans="1:11" x14ac:dyDescent="0.25">
      <c r="A477" s="4"/>
      <c r="B477" s="4"/>
      <c r="C477" s="5"/>
      <c r="D477" s="6"/>
      <c r="E477" s="4"/>
      <c r="F477" s="4"/>
      <c r="G477" s="5"/>
      <c r="H477" s="19" t="str">
        <f>IF(Tabela2[[#This Row],[REALIZAÇÃO DO ASO]]="","",Tabela2[[#This Row],[REALIZAÇÃO DO ASO]]+365)</f>
        <v/>
      </c>
      <c r="I47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COLABORADOR]]="AFASTADO","AFASTADO",IF(D477&gt;TODAY(),_xlfn.DAYS(D477,TODAY())&amp;" Dia(s) Restante do "&amp;Tabela2[[#This Row],[STATUS COLABORADOR]],IF(D477&lt;TODAY(),"VENCIDO",IF(D477=TODAY(),"ULTIMO DIA DE CONTRATO",)))))))),"")</f>
        <v/>
      </c>
    </row>
    <row r="478" spans="1:11" x14ac:dyDescent="0.25">
      <c r="A478" s="4"/>
      <c r="B478" s="4"/>
      <c r="C478" s="5"/>
      <c r="D478" s="6"/>
      <c r="E478" s="4"/>
      <c r="F478" s="4"/>
      <c r="G478" s="5"/>
      <c r="H478" s="19" t="str">
        <f>IF(Tabela2[[#This Row],[REALIZAÇÃO DO ASO]]="","",Tabela2[[#This Row],[REALIZAÇÃO DO ASO]]+365)</f>
        <v/>
      </c>
      <c r="I47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COLABORADOR]]="AFASTADO","AFASTADO",IF(D478&gt;TODAY(),_xlfn.DAYS(D478,TODAY())&amp;" Dia(s) Restante do "&amp;Tabela2[[#This Row],[STATUS COLABORADOR]],IF(D478&lt;TODAY(),"VENCIDO",IF(D478=TODAY(),"ULTIMO DIA DE CONTRATO",)))))))),"")</f>
        <v/>
      </c>
    </row>
    <row r="479" spans="1:11" x14ac:dyDescent="0.25">
      <c r="A479" s="4"/>
      <c r="B479" s="4"/>
      <c r="C479" s="5"/>
      <c r="D479" s="6"/>
      <c r="E479" s="4"/>
      <c r="F479" s="4"/>
      <c r="G479" s="5"/>
      <c r="H479" s="19" t="str">
        <f>IF(Tabela2[[#This Row],[REALIZAÇÃO DO ASO]]="","",Tabela2[[#This Row],[REALIZAÇÃO DO ASO]]+365)</f>
        <v/>
      </c>
      <c r="I47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7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7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COLABORADOR]]="AFASTADO","AFASTADO",IF(D479&gt;TODAY(),_xlfn.DAYS(D479,TODAY())&amp;" Dia(s) Restante do "&amp;Tabela2[[#This Row],[STATUS COLABORADOR]],IF(D479&lt;TODAY(),"VENCIDO",IF(D479=TODAY(),"ULTIMO DIA DE CONTRATO",)))))))),"")</f>
        <v/>
      </c>
    </row>
    <row r="480" spans="1:11" x14ac:dyDescent="0.25">
      <c r="A480" s="4"/>
      <c r="B480" s="4"/>
      <c r="C480" s="5"/>
      <c r="D480" s="6"/>
      <c r="E480" s="4"/>
      <c r="F480" s="4"/>
      <c r="G480" s="5"/>
      <c r="H480" s="19" t="str">
        <f>IF(Tabela2[[#This Row],[REALIZAÇÃO DO ASO]]="","",Tabela2[[#This Row],[REALIZAÇÃO DO ASO]]+365)</f>
        <v/>
      </c>
      <c r="I48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COLABORADOR]]="AFASTADO","AFASTADO",IF(D480&gt;TODAY(),_xlfn.DAYS(D480,TODAY())&amp;" Dia(s) Restante do "&amp;Tabela2[[#This Row],[STATUS COLABORADOR]],IF(D480&lt;TODAY(),"VENCIDO",IF(D480=TODAY(),"ULTIMO DIA DE CONTRATO",)))))))),"")</f>
        <v/>
      </c>
    </row>
    <row r="481" spans="1:11" x14ac:dyDescent="0.25">
      <c r="A481" s="4"/>
      <c r="B481" s="4"/>
      <c r="C481" s="5"/>
      <c r="D481" s="6"/>
      <c r="E481" s="4"/>
      <c r="F481" s="4"/>
      <c r="G481" s="5"/>
      <c r="H481" s="19" t="str">
        <f>IF(Tabela2[[#This Row],[REALIZAÇÃO DO ASO]]="","",Tabela2[[#This Row],[REALIZAÇÃO DO ASO]]+365)</f>
        <v/>
      </c>
      <c r="I48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COLABORADOR]]="AFASTADO","AFASTADO",IF(D481&gt;TODAY(),_xlfn.DAYS(D481,TODAY())&amp;" Dia(s) Restante do "&amp;Tabela2[[#This Row],[STATUS COLABORADOR]],IF(D481&lt;TODAY(),"VENCIDO",IF(D481=TODAY(),"ULTIMO DIA DE CONTRATO",)))))))),"")</f>
        <v/>
      </c>
    </row>
    <row r="482" spans="1:11" x14ac:dyDescent="0.25">
      <c r="A482" s="4"/>
      <c r="B482" s="4"/>
      <c r="C482" s="5"/>
      <c r="D482" s="6"/>
      <c r="E482" s="4"/>
      <c r="F482" s="4"/>
      <c r="G482" s="5"/>
      <c r="H482" s="19" t="str">
        <f>IF(Tabela2[[#This Row],[REALIZAÇÃO DO ASO]]="","",Tabela2[[#This Row],[REALIZAÇÃO DO ASO]]+365)</f>
        <v/>
      </c>
      <c r="I48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COLABORADOR]]="AFASTADO","AFASTADO",IF(D482&gt;TODAY(),_xlfn.DAYS(D482,TODAY())&amp;" Dia(s) Restante do "&amp;Tabela2[[#This Row],[STATUS COLABORADOR]],IF(D482&lt;TODAY(),"VENCIDO",IF(D482=TODAY(),"ULTIMO DIA DE CONTRATO",)))))))),"")</f>
        <v/>
      </c>
    </row>
    <row r="483" spans="1:11" x14ac:dyDescent="0.25">
      <c r="A483" s="4"/>
      <c r="B483" s="4"/>
      <c r="C483" s="5"/>
      <c r="D483" s="6"/>
      <c r="E483" s="4"/>
      <c r="F483" s="4"/>
      <c r="G483" s="5"/>
      <c r="H483" s="19" t="str">
        <f>IF(Tabela2[[#This Row],[REALIZAÇÃO DO ASO]]="","",Tabela2[[#This Row],[REALIZAÇÃO DO ASO]]+365)</f>
        <v/>
      </c>
      <c r="I48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COLABORADOR]]="AFASTADO","AFASTADO",IF(D483&gt;TODAY(),_xlfn.DAYS(D483,TODAY())&amp;" Dia(s) Restante do "&amp;Tabela2[[#This Row],[STATUS COLABORADOR]],IF(D483&lt;TODAY(),"VENCIDO",IF(D483=TODAY(),"ULTIMO DIA DE CONTRATO",)))))))),"")</f>
        <v/>
      </c>
    </row>
    <row r="484" spans="1:11" x14ac:dyDescent="0.25">
      <c r="A484" s="4"/>
      <c r="B484" s="4"/>
      <c r="C484" s="5"/>
      <c r="D484" s="6"/>
      <c r="E484" s="4"/>
      <c r="F484" s="4"/>
      <c r="G484" s="5"/>
      <c r="H484" s="19" t="str">
        <f>IF(Tabela2[[#This Row],[REALIZAÇÃO DO ASO]]="","",Tabela2[[#This Row],[REALIZAÇÃO DO ASO]]+365)</f>
        <v/>
      </c>
      <c r="I48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COLABORADOR]]="AFASTADO","AFASTADO",IF(D484&gt;TODAY(),_xlfn.DAYS(D484,TODAY())&amp;" Dia(s) Restante do "&amp;Tabela2[[#This Row],[STATUS COLABORADOR]],IF(D484&lt;TODAY(),"VENCIDO",IF(D484=TODAY(),"ULTIMO DIA DE CONTRATO",)))))))),"")</f>
        <v/>
      </c>
    </row>
    <row r="485" spans="1:11" x14ac:dyDescent="0.25">
      <c r="A485" s="4"/>
      <c r="B485" s="4"/>
      <c r="C485" s="5"/>
      <c r="D485" s="6"/>
      <c r="E485" s="4"/>
      <c r="F485" s="4"/>
      <c r="G485" s="5"/>
      <c r="H485" s="19" t="str">
        <f>IF(Tabela2[[#This Row],[REALIZAÇÃO DO ASO]]="","",Tabela2[[#This Row],[REALIZAÇÃO DO ASO]]+365)</f>
        <v/>
      </c>
      <c r="I48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COLABORADOR]]="AFASTADO","AFASTADO",IF(D485&gt;TODAY(),_xlfn.DAYS(D485,TODAY())&amp;" Dia(s) Restante do "&amp;Tabela2[[#This Row],[STATUS COLABORADOR]],IF(D485&lt;TODAY(),"VENCIDO",IF(D485=TODAY(),"ULTIMO DIA DE CONTRATO",)))))))),"")</f>
        <v/>
      </c>
    </row>
    <row r="486" spans="1:11" x14ac:dyDescent="0.25">
      <c r="A486" s="4"/>
      <c r="B486" s="4"/>
      <c r="C486" s="5"/>
      <c r="D486" s="6"/>
      <c r="E486" s="4"/>
      <c r="F486" s="4"/>
      <c r="G486" s="5"/>
      <c r="H486" s="19" t="str">
        <f>IF(Tabela2[[#This Row],[REALIZAÇÃO DO ASO]]="","",Tabela2[[#This Row],[REALIZAÇÃO DO ASO]]+365)</f>
        <v/>
      </c>
      <c r="I48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COLABORADOR]]="AFASTADO","AFASTADO",IF(D486&gt;TODAY(),_xlfn.DAYS(D486,TODAY())&amp;" Dia(s) Restante do "&amp;Tabela2[[#This Row],[STATUS COLABORADOR]],IF(D486&lt;TODAY(),"VENCIDO",IF(D486=TODAY(),"ULTIMO DIA DE CONTRATO",)))))))),"")</f>
        <v/>
      </c>
    </row>
    <row r="487" spans="1:11" x14ac:dyDescent="0.25">
      <c r="A487" s="4"/>
      <c r="B487" s="4"/>
      <c r="C487" s="5"/>
      <c r="D487" s="6"/>
      <c r="E487" s="4"/>
      <c r="F487" s="4"/>
      <c r="G487" s="5"/>
      <c r="H487" s="19" t="str">
        <f>IF(Tabela2[[#This Row],[REALIZAÇÃO DO ASO]]="","",Tabela2[[#This Row],[REALIZAÇÃO DO ASO]]+365)</f>
        <v/>
      </c>
      <c r="I48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COLABORADOR]]="AFASTADO","AFASTADO",IF(D487&gt;TODAY(),_xlfn.DAYS(D487,TODAY())&amp;" Dia(s) Restante do "&amp;Tabela2[[#This Row],[STATUS COLABORADOR]],IF(D487&lt;TODAY(),"VENCIDO",IF(D487=TODAY(),"ULTIMO DIA DE CONTRATO",)))))))),"")</f>
        <v/>
      </c>
    </row>
    <row r="488" spans="1:11" x14ac:dyDescent="0.25">
      <c r="A488" s="4"/>
      <c r="B488" s="4"/>
      <c r="C488" s="5"/>
      <c r="D488" s="6"/>
      <c r="E488" s="4"/>
      <c r="F488" s="4"/>
      <c r="G488" s="5"/>
      <c r="H488" s="19" t="str">
        <f>IF(Tabela2[[#This Row],[REALIZAÇÃO DO ASO]]="","",Tabela2[[#This Row],[REALIZAÇÃO DO ASO]]+365)</f>
        <v/>
      </c>
      <c r="I48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COLABORADOR]]="AFASTADO","AFASTADO",IF(D488&gt;TODAY(),_xlfn.DAYS(D488,TODAY())&amp;" Dia(s) Restante do "&amp;Tabela2[[#This Row],[STATUS COLABORADOR]],IF(D488&lt;TODAY(),"VENCIDO",IF(D488=TODAY(),"ULTIMO DIA DE CONTRATO",)))))))),"")</f>
        <v/>
      </c>
    </row>
    <row r="489" spans="1:11" x14ac:dyDescent="0.25">
      <c r="A489" s="4"/>
      <c r="B489" s="4"/>
      <c r="C489" s="5"/>
      <c r="D489" s="6"/>
      <c r="E489" s="4"/>
      <c r="F489" s="4"/>
      <c r="G489" s="5"/>
      <c r="H489" s="19" t="str">
        <f>IF(Tabela2[[#This Row],[REALIZAÇÃO DO ASO]]="","",Tabela2[[#This Row],[REALIZAÇÃO DO ASO]]+365)</f>
        <v/>
      </c>
      <c r="I48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8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8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COLABORADOR]]="AFASTADO","AFASTADO",IF(D489&gt;TODAY(),_xlfn.DAYS(D489,TODAY())&amp;" Dia(s) Restante do "&amp;Tabela2[[#This Row],[STATUS COLABORADOR]],IF(D489&lt;TODAY(),"VENCIDO",IF(D489=TODAY(),"ULTIMO DIA DE CONTRATO",)))))))),"")</f>
        <v/>
      </c>
    </row>
    <row r="490" spans="1:11" x14ac:dyDescent="0.25">
      <c r="A490" s="4"/>
      <c r="B490" s="4"/>
      <c r="C490" s="5"/>
      <c r="D490" s="6"/>
      <c r="E490" s="4"/>
      <c r="F490" s="4"/>
      <c r="G490" s="5"/>
      <c r="H490" s="19" t="str">
        <f>IF(Tabela2[[#This Row],[REALIZAÇÃO DO ASO]]="","",Tabela2[[#This Row],[REALIZAÇÃO DO ASO]]+365)</f>
        <v/>
      </c>
      <c r="I49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COLABORADOR]]="AFASTADO","AFASTADO",IF(D490&gt;TODAY(),_xlfn.DAYS(D490,TODAY())&amp;" Dia(s) Restante do "&amp;Tabela2[[#This Row],[STATUS COLABORADOR]],IF(D490&lt;TODAY(),"VENCIDO",IF(D490=TODAY(),"ULTIMO DIA DE CONTRATO",)))))))),"")</f>
        <v/>
      </c>
    </row>
    <row r="491" spans="1:11" x14ac:dyDescent="0.25">
      <c r="A491" s="4"/>
      <c r="B491" s="4"/>
      <c r="C491" s="5"/>
      <c r="D491" s="6"/>
      <c r="E491" s="4"/>
      <c r="F491" s="4"/>
      <c r="G491" s="5"/>
      <c r="H491" s="19" t="str">
        <f>IF(Tabela2[[#This Row],[REALIZAÇÃO DO ASO]]="","",Tabela2[[#This Row],[REALIZAÇÃO DO ASO]]+365)</f>
        <v/>
      </c>
      <c r="I49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COLABORADOR]]="AFASTADO","AFASTADO",IF(D491&gt;TODAY(),_xlfn.DAYS(D491,TODAY())&amp;" Dia(s) Restante do "&amp;Tabela2[[#This Row],[STATUS COLABORADOR]],IF(D491&lt;TODAY(),"VENCIDO",IF(D491=TODAY(),"ULTIMO DIA DE CONTRATO",)))))))),"")</f>
        <v/>
      </c>
    </row>
    <row r="492" spans="1:11" x14ac:dyDescent="0.25">
      <c r="A492" s="4"/>
      <c r="B492" s="4"/>
      <c r="C492" s="5"/>
      <c r="D492" s="6"/>
      <c r="E492" s="4"/>
      <c r="F492" s="4"/>
      <c r="G492" s="5"/>
      <c r="H492" s="19" t="str">
        <f>IF(Tabela2[[#This Row],[REALIZAÇÃO DO ASO]]="","",Tabela2[[#This Row],[REALIZAÇÃO DO ASO]]+365)</f>
        <v/>
      </c>
      <c r="I49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COLABORADOR]]="AFASTADO","AFASTADO",IF(D492&gt;TODAY(),_xlfn.DAYS(D492,TODAY())&amp;" Dia(s) Restante do "&amp;Tabela2[[#This Row],[STATUS COLABORADOR]],IF(D492&lt;TODAY(),"VENCIDO",IF(D492=TODAY(),"ULTIMO DIA DE CONTRATO",)))))))),"")</f>
        <v/>
      </c>
    </row>
    <row r="493" spans="1:11" x14ac:dyDescent="0.25">
      <c r="A493" s="4"/>
      <c r="B493" s="4"/>
      <c r="C493" s="5"/>
      <c r="D493" s="6"/>
      <c r="E493" s="4"/>
      <c r="F493" s="4"/>
      <c r="G493" s="5"/>
      <c r="H493" s="19" t="str">
        <f>IF(Tabela2[[#This Row],[REALIZAÇÃO DO ASO]]="","",Tabela2[[#This Row],[REALIZAÇÃO DO ASO]]+365)</f>
        <v/>
      </c>
      <c r="I49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COLABORADOR]]="AFASTADO","AFASTADO",IF(D493&gt;TODAY(),_xlfn.DAYS(D493,TODAY())&amp;" Dia(s) Restante do "&amp;Tabela2[[#This Row],[STATUS COLABORADOR]],IF(D493&lt;TODAY(),"VENCIDO",IF(D493=TODAY(),"ULTIMO DIA DE CONTRATO",)))))))),"")</f>
        <v/>
      </c>
    </row>
    <row r="494" spans="1:11" x14ac:dyDescent="0.25">
      <c r="A494" s="4"/>
      <c r="B494" s="4"/>
      <c r="C494" s="5"/>
      <c r="D494" s="6"/>
      <c r="E494" s="4"/>
      <c r="F494" s="4"/>
      <c r="G494" s="5"/>
      <c r="H494" s="19" t="str">
        <f>IF(Tabela2[[#This Row],[REALIZAÇÃO DO ASO]]="","",Tabela2[[#This Row],[REALIZAÇÃO DO ASO]]+365)</f>
        <v/>
      </c>
      <c r="I49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COLABORADOR]]="AFASTADO","AFASTADO",IF(D494&gt;TODAY(),_xlfn.DAYS(D494,TODAY())&amp;" Dia(s) Restante do "&amp;Tabela2[[#This Row],[STATUS COLABORADOR]],IF(D494&lt;TODAY(),"VENCIDO",IF(D494=TODAY(),"ULTIMO DIA DE CONTRATO",)))))))),"")</f>
        <v/>
      </c>
    </row>
    <row r="495" spans="1:11" x14ac:dyDescent="0.25">
      <c r="A495" s="4"/>
      <c r="B495" s="4"/>
      <c r="C495" s="5"/>
      <c r="D495" s="6"/>
      <c r="E495" s="4"/>
      <c r="F495" s="4"/>
      <c r="G495" s="5"/>
      <c r="H495" s="19" t="str">
        <f>IF(Tabela2[[#This Row],[REALIZAÇÃO DO ASO]]="","",Tabela2[[#This Row],[REALIZAÇÃO DO ASO]]+365)</f>
        <v/>
      </c>
      <c r="I49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COLABORADOR]]="AFASTADO","AFASTADO",IF(D495&gt;TODAY(),_xlfn.DAYS(D495,TODAY())&amp;" Dia(s) Restante do "&amp;Tabela2[[#This Row],[STATUS COLABORADOR]],IF(D495&lt;TODAY(),"VENCIDO",IF(D495=TODAY(),"ULTIMO DIA DE CONTRATO",)))))))),"")</f>
        <v/>
      </c>
    </row>
    <row r="496" spans="1:11" x14ac:dyDescent="0.25">
      <c r="A496" s="4"/>
      <c r="B496" s="4"/>
      <c r="C496" s="5"/>
      <c r="D496" s="6"/>
      <c r="E496" s="4"/>
      <c r="F496" s="4"/>
      <c r="G496" s="5"/>
      <c r="H496" s="19" t="str">
        <f>IF(Tabela2[[#This Row],[REALIZAÇÃO DO ASO]]="","",Tabela2[[#This Row],[REALIZAÇÃO DO ASO]]+365)</f>
        <v/>
      </c>
      <c r="I49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COLABORADOR]]="AFASTADO","AFASTADO",IF(D496&gt;TODAY(),_xlfn.DAYS(D496,TODAY())&amp;" Dia(s) Restante do "&amp;Tabela2[[#This Row],[STATUS COLABORADOR]],IF(D496&lt;TODAY(),"VENCIDO",IF(D496=TODAY(),"ULTIMO DIA DE CONTRATO",)))))))),"")</f>
        <v/>
      </c>
    </row>
    <row r="497" spans="1:11" x14ac:dyDescent="0.25">
      <c r="A497" s="4"/>
      <c r="B497" s="4"/>
      <c r="C497" s="5"/>
      <c r="D497" s="6"/>
      <c r="E497" s="4"/>
      <c r="F497" s="4"/>
      <c r="G497" s="5"/>
      <c r="H497" s="19" t="str">
        <f>IF(Tabela2[[#This Row],[REALIZAÇÃO DO ASO]]="","",Tabela2[[#This Row],[REALIZAÇÃO DO ASO]]+365)</f>
        <v/>
      </c>
      <c r="I49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COLABORADOR]]="AFASTADO","AFASTADO",IF(D497&gt;TODAY(),_xlfn.DAYS(D497,TODAY())&amp;" Dia(s) Restante do "&amp;Tabela2[[#This Row],[STATUS COLABORADOR]],IF(D497&lt;TODAY(),"VENCIDO",IF(D497=TODAY(),"ULTIMO DIA DE CONTRATO",)))))))),"")</f>
        <v/>
      </c>
    </row>
    <row r="498" spans="1:11" x14ac:dyDescent="0.25">
      <c r="A498" s="4"/>
      <c r="B498" s="4"/>
      <c r="C498" s="5"/>
      <c r="D498" s="6"/>
      <c r="E498" s="4"/>
      <c r="F498" s="4"/>
      <c r="G498" s="5"/>
      <c r="H498" s="19" t="str">
        <f>IF(Tabela2[[#This Row],[REALIZAÇÃO DO ASO]]="","",Tabela2[[#This Row],[REALIZAÇÃO DO ASO]]+365)</f>
        <v/>
      </c>
      <c r="I49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COLABORADOR]]="AFASTADO","AFASTADO",IF(D498&gt;TODAY(),_xlfn.DAYS(D498,TODAY())&amp;" Dia(s) Restante do "&amp;Tabela2[[#This Row],[STATUS COLABORADOR]],IF(D498&lt;TODAY(),"VENCIDO",IF(D498=TODAY(),"ULTIMO DIA DE CONTRATO",)))))))),"")</f>
        <v/>
      </c>
    </row>
    <row r="499" spans="1:11" x14ac:dyDescent="0.25">
      <c r="A499" s="4"/>
      <c r="B499" s="4"/>
      <c r="C499" s="5"/>
      <c r="D499" s="6"/>
      <c r="E499" s="4"/>
      <c r="F499" s="4"/>
      <c r="G499" s="5"/>
      <c r="H499" s="19" t="str">
        <f>IF(Tabela2[[#This Row],[REALIZAÇÃO DO ASO]]="","",Tabela2[[#This Row],[REALIZAÇÃO DO ASO]]+365)</f>
        <v/>
      </c>
      <c r="I49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49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49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COLABORADOR]]="AFASTADO","AFASTADO",IF(D499&gt;TODAY(),_xlfn.DAYS(D499,TODAY())&amp;" Dia(s) Restante do "&amp;Tabela2[[#This Row],[STATUS COLABORADOR]],IF(D499&lt;TODAY(),"VENCIDO",IF(D499=TODAY(),"ULTIMO DIA DE CONTRATO",)))))))),"")</f>
        <v/>
      </c>
    </row>
    <row r="500" spans="1:11" x14ac:dyDescent="0.25">
      <c r="A500" s="4"/>
      <c r="B500" s="4"/>
      <c r="C500" s="5"/>
      <c r="D500" s="6"/>
      <c r="E500" s="4"/>
      <c r="F500" s="4"/>
      <c r="G500" s="5"/>
      <c r="H500" s="19" t="str">
        <f>IF(Tabela2[[#This Row],[REALIZAÇÃO DO ASO]]="","",Tabela2[[#This Row],[REALIZAÇÃO DO ASO]]+365)</f>
        <v/>
      </c>
      <c r="I50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COLABORADOR]]="AFASTADO","AFASTADO",IF(D500&gt;TODAY(),_xlfn.DAYS(D500,TODAY())&amp;" Dia(s) Restante do "&amp;Tabela2[[#This Row],[STATUS COLABORADOR]],IF(D500&lt;TODAY(),"VENCIDO",IF(D500=TODAY(),"ULTIMO DIA DE CONTRATO",)))))))),"")</f>
        <v/>
      </c>
    </row>
    <row r="501" spans="1:11" x14ac:dyDescent="0.25">
      <c r="A501" s="4"/>
      <c r="B501" s="4"/>
      <c r="C501" s="5"/>
      <c r="D501" s="6"/>
      <c r="E501" s="4"/>
      <c r="F501" s="4"/>
      <c r="G501" s="5"/>
      <c r="H501" s="19" t="str">
        <f>IF(Tabela2[[#This Row],[REALIZAÇÃO DO ASO]]="","",Tabela2[[#This Row],[REALIZAÇÃO DO ASO]]+365)</f>
        <v/>
      </c>
      <c r="I50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COLABORADOR]]="AFASTADO","AFASTADO",IF(D501&gt;TODAY(),_xlfn.DAYS(D501,TODAY())&amp;" Dia(s) Restante do "&amp;Tabela2[[#This Row],[STATUS COLABORADOR]],IF(D501&lt;TODAY(),"VENCIDO",IF(D501=TODAY(),"ULTIMO DIA DE CONTRATO",)))))))),"")</f>
        <v/>
      </c>
    </row>
    <row r="502" spans="1:11" x14ac:dyDescent="0.25">
      <c r="A502" s="4"/>
      <c r="B502" s="4"/>
      <c r="C502" s="5"/>
      <c r="D502" s="6"/>
      <c r="E502" s="4"/>
      <c r="F502" s="4"/>
      <c r="G502" s="5"/>
      <c r="H502" s="19" t="str">
        <f>IF(Tabela2[[#This Row],[REALIZAÇÃO DO ASO]]="","",Tabela2[[#This Row],[REALIZAÇÃO DO ASO]]+365)</f>
        <v/>
      </c>
      <c r="I50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COLABORADOR]]="AFASTADO","AFASTADO",IF(D502&gt;TODAY(),_xlfn.DAYS(D502,TODAY())&amp;" Dia(s) Restante do "&amp;Tabela2[[#This Row],[STATUS COLABORADOR]],IF(D502&lt;TODAY(),"VENCIDO",IF(D502=TODAY(),"ULTIMO DIA DE CONTRATO",)))))))),"")</f>
        <v/>
      </c>
    </row>
    <row r="503" spans="1:11" x14ac:dyDescent="0.25">
      <c r="A503" s="4"/>
      <c r="B503" s="4"/>
      <c r="C503" s="5"/>
      <c r="D503" s="6"/>
      <c r="E503" s="4"/>
      <c r="F503" s="4"/>
      <c r="G503" s="5"/>
      <c r="H503" s="19" t="str">
        <f>IF(Tabela2[[#This Row],[REALIZAÇÃO DO ASO]]="","",Tabela2[[#This Row],[REALIZAÇÃO DO ASO]]+365)</f>
        <v/>
      </c>
      <c r="I50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COLABORADOR]]="AFASTADO","AFASTADO",IF(D503&gt;TODAY(),_xlfn.DAYS(D503,TODAY())&amp;" Dia(s) Restante do "&amp;Tabela2[[#This Row],[STATUS COLABORADOR]],IF(D503&lt;TODAY(),"VENCIDO",IF(D503=TODAY(),"ULTIMO DIA DE CONTRATO",)))))))),"")</f>
        <v/>
      </c>
    </row>
    <row r="504" spans="1:11" x14ac:dyDescent="0.25">
      <c r="A504" s="4"/>
      <c r="B504" s="4"/>
      <c r="C504" s="5"/>
      <c r="D504" s="6"/>
      <c r="E504" s="4"/>
      <c r="F504" s="4"/>
      <c r="G504" s="5"/>
      <c r="H504" s="19" t="str">
        <f>IF(Tabela2[[#This Row],[REALIZAÇÃO DO ASO]]="","",Tabela2[[#This Row],[REALIZAÇÃO DO ASO]]+365)</f>
        <v/>
      </c>
      <c r="I50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COLABORADOR]]="AFASTADO","AFASTADO",IF(D504&gt;TODAY(),_xlfn.DAYS(D504,TODAY())&amp;" Dia(s) Restante do "&amp;Tabela2[[#This Row],[STATUS COLABORADOR]],IF(D504&lt;TODAY(),"VENCIDO",IF(D504=TODAY(),"ULTIMO DIA DE CONTRATO",)))))))),"")</f>
        <v/>
      </c>
    </row>
    <row r="505" spans="1:11" x14ac:dyDescent="0.25">
      <c r="A505" s="4"/>
      <c r="B505" s="4"/>
      <c r="C505" s="5"/>
      <c r="D505" s="6"/>
      <c r="E505" s="4"/>
      <c r="F505" s="4"/>
      <c r="G505" s="5"/>
      <c r="H505" s="19" t="str">
        <f>IF(Tabela2[[#This Row],[REALIZAÇÃO DO ASO]]="","",Tabela2[[#This Row],[REALIZAÇÃO DO ASO]]+365)</f>
        <v/>
      </c>
      <c r="I50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COLABORADOR]]="AFASTADO","AFASTADO",IF(D505&gt;TODAY(),_xlfn.DAYS(D505,TODAY())&amp;" Dia(s) Restante do "&amp;Tabela2[[#This Row],[STATUS COLABORADOR]],IF(D505&lt;TODAY(),"VENCIDO",IF(D505=TODAY(),"ULTIMO DIA DE CONTRATO",)))))))),"")</f>
        <v/>
      </c>
    </row>
    <row r="506" spans="1:11" x14ac:dyDescent="0.25">
      <c r="A506" s="4"/>
      <c r="B506" s="4"/>
      <c r="C506" s="5"/>
      <c r="D506" s="6"/>
      <c r="E506" s="4"/>
      <c r="F506" s="4"/>
      <c r="G506" s="5"/>
      <c r="H506" s="19" t="str">
        <f>IF(Tabela2[[#This Row],[REALIZAÇÃO DO ASO]]="","",Tabela2[[#This Row],[REALIZAÇÃO DO ASO]]+365)</f>
        <v/>
      </c>
      <c r="I50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COLABORADOR]]="AFASTADO","AFASTADO",IF(D506&gt;TODAY(),_xlfn.DAYS(D506,TODAY())&amp;" Dia(s) Restante do "&amp;Tabela2[[#This Row],[STATUS COLABORADOR]],IF(D506&lt;TODAY(),"VENCIDO",IF(D506=TODAY(),"ULTIMO DIA DE CONTRATO",)))))))),"")</f>
        <v/>
      </c>
    </row>
    <row r="507" spans="1:11" x14ac:dyDescent="0.25">
      <c r="A507" s="4"/>
      <c r="B507" s="4"/>
      <c r="C507" s="5"/>
      <c r="D507" s="6"/>
      <c r="E507" s="4"/>
      <c r="F507" s="4"/>
      <c r="G507" s="5"/>
      <c r="H507" s="19" t="str">
        <f>IF(Tabela2[[#This Row],[REALIZAÇÃO DO ASO]]="","",Tabela2[[#This Row],[REALIZAÇÃO DO ASO]]+365)</f>
        <v/>
      </c>
      <c r="I50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COLABORADOR]]="AFASTADO","AFASTADO",IF(D507&gt;TODAY(),_xlfn.DAYS(D507,TODAY())&amp;" Dia(s) Restante do "&amp;Tabela2[[#This Row],[STATUS COLABORADOR]],IF(D507&lt;TODAY(),"VENCIDO",IF(D507=TODAY(),"ULTIMO DIA DE CONTRATO",)))))))),"")</f>
        <v/>
      </c>
    </row>
    <row r="508" spans="1:11" x14ac:dyDescent="0.25">
      <c r="A508" s="4"/>
      <c r="B508" s="4"/>
      <c r="C508" s="5"/>
      <c r="D508" s="6"/>
      <c r="E508" s="4"/>
      <c r="F508" s="4"/>
      <c r="G508" s="5"/>
      <c r="H508" s="19" t="str">
        <f>IF(Tabela2[[#This Row],[REALIZAÇÃO DO ASO]]="","",Tabela2[[#This Row],[REALIZAÇÃO DO ASO]]+365)</f>
        <v/>
      </c>
      <c r="I50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COLABORADOR]]="AFASTADO","AFASTADO",IF(D508&gt;TODAY(),_xlfn.DAYS(D508,TODAY())&amp;" Dia(s) Restante do "&amp;Tabela2[[#This Row],[STATUS COLABORADOR]],IF(D508&lt;TODAY(),"VENCIDO",IF(D508=TODAY(),"ULTIMO DIA DE CONTRATO",)))))))),"")</f>
        <v/>
      </c>
    </row>
    <row r="509" spans="1:11" x14ac:dyDescent="0.25">
      <c r="A509" s="4"/>
      <c r="B509" s="4"/>
      <c r="C509" s="5"/>
      <c r="D509" s="6"/>
      <c r="E509" s="4"/>
      <c r="F509" s="4"/>
      <c r="G509" s="5"/>
      <c r="H509" s="19" t="str">
        <f>IF(Tabela2[[#This Row],[REALIZAÇÃO DO ASO]]="","",Tabela2[[#This Row],[REALIZAÇÃO DO ASO]]+365)</f>
        <v/>
      </c>
      <c r="I50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0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0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COLABORADOR]]="AFASTADO","AFASTADO",IF(D509&gt;TODAY(),_xlfn.DAYS(D509,TODAY())&amp;" Dia(s) Restante do "&amp;Tabela2[[#This Row],[STATUS COLABORADOR]],IF(D509&lt;TODAY(),"VENCIDO",IF(D509=TODAY(),"ULTIMO DIA DE CONTRATO",)))))))),"")</f>
        <v/>
      </c>
    </row>
    <row r="510" spans="1:11" x14ac:dyDescent="0.25">
      <c r="A510" s="4"/>
      <c r="B510" s="4"/>
      <c r="C510" s="5"/>
      <c r="D510" s="6"/>
      <c r="E510" s="4"/>
      <c r="F510" s="4"/>
      <c r="G510" s="5"/>
      <c r="H510" s="19" t="str">
        <f>IF(Tabela2[[#This Row],[REALIZAÇÃO DO ASO]]="","",Tabela2[[#This Row],[REALIZAÇÃO DO ASO]]+365)</f>
        <v/>
      </c>
      <c r="I5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COLABORADOR]]="AFASTADO","AFASTADO",IF(D510&gt;TODAY(),_xlfn.DAYS(D510,TODAY())&amp;" Dia(s) Restante do "&amp;Tabela2[[#This Row],[STATUS COLABORADOR]],IF(D510&lt;TODAY(),"VENCIDO",IF(D510=TODAY(),"ULTIMO DIA DE CONTRATO",)))))))),"")</f>
        <v/>
      </c>
    </row>
    <row r="511" spans="1:11" x14ac:dyDescent="0.25">
      <c r="A511" s="4"/>
      <c r="B511" s="4"/>
      <c r="C511" s="5"/>
      <c r="D511" s="6"/>
      <c r="E511" s="4"/>
      <c r="F511" s="4"/>
      <c r="G511" s="5"/>
      <c r="H511" s="19" t="str">
        <f>IF(Tabela2[[#This Row],[REALIZAÇÃO DO ASO]]="","",Tabela2[[#This Row],[REALIZAÇÃO DO ASO]]+365)</f>
        <v/>
      </c>
      <c r="I51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COLABORADOR]]="AFASTADO","AFASTADO",IF(D511&gt;TODAY(),_xlfn.DAYS(D511,TODAY())&amp;" Dia(s) Restante do "&amp;Tabela2[[#This Row],[STATUS COLABORADOR]],IF(D511&lt;TODAY(),"VENCIDO",IF(D511=TODAY(),"ULTIMO DIA DE CONTRATO",)))))))),"")</f>
        <v/>
      </c>
    </row>
    <row r="512" spans="1:11" x14ac:dyDescent="0.25">
      <c r="A512" s="4"/>
      <c r="B512" s="4"/>
      <c r="C512" s="5"/>
      <c r="D512" s="6"/>
      <c r="E512" s="4"/>
      <c r="F512" s="4"/>
      <c r="G512" s="5"/>
      <c r="H512" s="19" t="str">
        <f>IF(Tabela2[[#This Row],[REALIZAÇÃO DO ASO]]="","",Tabela2[[#This Row],[REALIZAÇÃO DO ASO]]+365)</f>
        <v/>
      </c>
      <c r="I51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COLABORADOR]]="AFASTADO","AFASTADO",IF(D512&gt;TODAY(),_xlfn.DAYS(D512,TODAY())&amp;" Dia(s) Restante do "&amp;Tabela2[[#This Row],[STATUS COLABORADOR]],IF(D512&lt;TODAY(),"VENCIDO",IF(D512=TODAY(),"ULTIMO DIA DE CONTRATO",)))))))),"")</f>
        <v/>
      </c>
    </row>
    <row r="513" spans="1:11" x14ac:dyDescent="0.25">
      <c r="A513" s="4"/>
      <c r="B513" s="4"/>
      <c r="C513" s="5"/>
      <c r="D513" s="6"/>
      <c r="E513" s="4"/>
      <c r="F513" s="4"/>
      <c r="G513" s="5"/>
      <c r="H513" s="19" t="str">
        <f>IF(Tabela2[[#This Row],[REALIZAÇÃO DO ASO]]="","",Tabela2[[#This Row],[REALIZAÇÃO DO ASO]]+365)</f>
        <v/>
      </c>
      <c r="I51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COLABORADOR]]="AFASTADO","AFASTADO",IF(D513&gt;TODAY(),_xlfn.DAYS(D513,TODAY())&amp;" Dia(s) Restante do "&amp;Tabela2[[#This Row],[STATUS COLABORADOR]],IF(D513&lt;TODAY(),"VENCIDO",IF(D513=TODAY(),"ULTIMO DIA DE CONTRATO",)))))))),"")</f>
        <v/>
      </c>
    </row>
    <row r="514" spans="1:11" x14ac:dyDescent="0.25">
      <c r="A514" s="4"/>
      <c r="B514" s="4"/>
      <c r="C514" s="5"/>
      <c r="D514" s="6"/>
      <c r="E514" s="4"/>
      <c r="F514" s="4"/>
      <c r="G514" s="5"/>
      <c r="H514" s="19" t="str">
        <f>IF(Tabela2[[#This Row],[REALIZAÇÃO DO ASO]]="","",Tabela2[[#This Row],[REALIZAÇÃO DO ASO]]+365)</f>
        <v/>
      </c>
      <c r="I51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COLABORADOR]]="AFASTADO","AFASTADO",IF(D514&gt;TODAY(),_xlfn.DAYS(D514,TODAY())&amp;" Dia(s) Restante do "&amp;Tabela2[[#This Row],[STATUS COLABORADOR]],IF(D514&lt;TODAY(),"VENCIDO",IF(D514=TODAY(),"ULTIMO DIA DE CONTRATO",)))))))),"")</f>
        <v/>
      </c>
    </row>
    <row r="515" spans="1:11" x14ac:dyDescent="0.25">
      <c r="A515" s="4"/>
      <c r="B515" s="4"/>
      <c r="C515" s="5"/>
      <c r="D515" s="6"/>
      <c r="E515" s="4"/>
      <c r="F515" s="4"/>
      <c r="G515" s="5"/>
      <c r="H515" s="19" t="str">
        <f>IF(Tabela2[[#This Row],[REALIZAÇÃO DO ASO]]="","",Tabela2[[#This Row],[REALIZAÇÃO DO ASO]]+365)</f>
        <v/>
      </c>
      <c r="I51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COLABORADOR]]="AFASTADO","AFASTADO",IF(D515&gt;TODAY(),_xlfn.DAYS(D515,TODAY())&amp;" Dia(s) Restante do "&amp;Tabela2[[#This Row],[STATUS COLABORADOR]],IF(D515&lt;TODAY(),"VENCIDO",IF(D515=TODAY(),"ULTIMO DIA DE CONTRATO",)))))))),"")</f>
        <v/>
      </c>
    </row>
    <row r="516" spans="1:11" x14ac:dyDescent="0.25">
      <c r="A516" s="4"/>
      <c r="B516" s="4"/>
      <c r="C516" s="5"/>
      <c r="D516" s="6"/>
      <c r="E516" s="4"/>
      <c r="F516" s="4"/>
      <c r="G516" s="5"/>
      <c r="H516" s="19" t="str">
        <f>IF(Tabela2[[#This Row],[REALIZAÇÃO DO ASO]]="","",Tabela2[[#This Row],[REALIZAÇÃO DO ASO]]+365)</f>
        <v/>
      </c>
      <c r="I51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COLABORADOR]]="AFASTADO","AFASTADO",IF(D516&gt;TODAY(),_xlfn.DAYS(D516,TODAY())&amp;" Dia(s) Restante do "&amp;Tabela2[[#This Row],[STATUS COLABORADOR]],IF(D516&lt;TODAY(),"VENCIDO",IF(D516=TODAY(),"ULTIMO DIA DE CONTRATO",)))))))),"")</f>
        <v/>
      </c>
    </row>
    <row r="517" spans="1:11" x14ac:dyDescent="0.25">
      <c r="A517" s="4"/>
      <c r="B517" s="4"/>
      <c r="C517" s="5"/>
      <c r="D517" s="6"/>
      <c r="E517" s="4"/>
      <c r="F517" s="4"/>
      <c r="G517" s="5"/>
      <c r="H517" s="19" t="str">
        <f>IF(Tabela2[[#This Row],[REALIZAÇÃO DO ASO]]="","",Tabela2[[#This Row],[REALIZAÇÃO DO ASO]]+365)</f>
        <v/>
      </c>
      <c r="I51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COLABORADOR]]="AFASTADO","AFASTADO",IF(D517&gt;TODAY(),_xlfn.DAYS(D517,TODAY())&amp;" Dia(s) Restante do "&amp;Tabela2[[#This Row],[STATUS COLABORADOR]],IF(D517&lt;TODAY(),"VENCIDO",IF(D517=TODAY(),"ULTIMO DIA DE CONTRATO",)))))))),"")</f>
        <v/>
      </c>
    </row>
    <row r="518" spans="1:11" x14ac:dyDescent="0.25">
      <c r="A518" s="4"/>
      <c r="B518" s="4"/>
      <c r="C518" s="5"/>
      <c r="D518" s="6"/>
      <c r="E518" s="4"/>
      <c r="F518" s="4"/>
      <c r="G518" s="5"/>
      <c r="H518" s="19" t="str">
        <f>IF(Tabela2[[#This Row],[REALIZAÇÃO DO ASO]]="","",Tabela2[[#This Row],[REALIZAÇÃO DO ASO]]+365)</f>
        <v/>
      </c>
      <c r="I51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COLABORADOR]]="AFASTADO","AFASTADO",IF(D518&gt;TODAY(),_xlfn.DAYS(D518,TODAY())&amp;" Dia(s) Restante do "&amp;Tabela2[[#This Row],[STATUS COLABORADOR]],IF(D518&lt;TODAY(),"VENCIDO",IF(D518=TODAY(),"ULTIMO DIA DE CONTRATO",)))))))),"")</f>
        <v/>
      </c>
    </row>
    <row r="519" spans="1:11" x14ac:dyDescent="0.25">
      <c r="A519" s="4"/>
      <c r="B519" s="4"/>
      <c r="C519" s="5"/>
      <c r="D519" s="6"/>
      <c r="E519" s="4"/>
      <c r="F519" s="4"/>
      <c r="G519" s="5"/>
      <c r="H519" s="19" t="str">
        <f>IF(Tabela2[[#This Row],[REALIZAÇÃO DO ASO]]="","",Tabela2[[#This Row],[REALIZAÇÃO DO ASO]]+365)</f>
        <v/>
      </c>
      <c r="I51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1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1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COLABORADOR]]="AFASTADO","AFASTADO",IF(D519&gt;TODAY(),_xlfn.DAYS(D519,TODAY())&amp;" Dia(s) Restante do "&amp;Tabela2[[#This Row],[STATUS COLABORADOR]],IF(D519&lt;TODAY(),"VENCIDO",IF(D519=TODAY(),"ULTIMO DIA DE CONTRATO",)))))))),"")</f>
        <v/>
      </c>
    </row>
    <row r="520" spans="1:11" x14ac:dyDescent="0.25">
      <c r="A520" s="4"/>
      <c r="B520" s="4"/>
      <c r="C520" s="5"/>
      <c r="D520" s="6"/>
      <c r="E520" s="4"/>
      <c r="F520" s="4"/>
      <c r="G520" s="5"/>
      <c r="H520" s="19" t="str">
        <f>IF(Tabela2[[#This Row],[REALIZAÇÃO DO ASO]]="","",Tabela2[[#This Row],[REALIZAÇÃO DO ASO]]+365)</f>
        <v/>
      </c>
      <c r="I52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COLABORADOR]]="AFASTADO","AFASTADO",IF(D520&gt;TODAY(),_xlfn.DAYS(D520,TODAY())&amp;" Dia(s) Restante do "&amp;Tabela2[[#This Row],[STATUS COLABORADOR]],IF(D520&lt;TODAY(),"VENCIDO",IF(D520=TODAY(),"ULTIMO DIA DE CONTRATO",)))))))),"")</f>
        <v/>
      </c>
    </row>
    <row r="521" spans="1:11" x14ac:dyDescent="0.25">
      <c r="A521" s="4"/>
      <c r="B521" s="4"/>
      <c r="C521" s="5"/>
      <c r="D521" s="6"/>
      <c r="E521" s="4"/>
      <c r="F521" s="4"/>
      <c r="G521" s="5"/>
      <c r="H521" s="19" t="str">
        <f>IF(Tabela2[[#This Row],[REALIZAÇÃO DO ASO]]="","",Tabela2[[#This Row],[REALIZAÇÃO DO ASO]]+365)</f>
        <v/>
      </c>
      <c r="I52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COLABORADOR]]="AFASTADO","AFASTADO",IF(D521&gt;TODAY(),_xlfn.DAYS(D521,TODAY())&amp;" Dia(s) Restante do "&amp;Tabela2[[#This Row],[STATUS COLABORADOR]],IF(D521&lt;TODAY(),"VENCIDO",IF(D521=TODAY(),"ULTIMO DIA DE CONTRATO",)))))))),"")</f>
        <v/>
      </c>
    </row>
    <row r="522" spans="1:11" x14ac:dyDescent="0.25">
      <c r="A522" s="4"/>
      <c r="B522" s="4"/>
      <c r="C522" s="5"/>
      <c r="D522" s="6"/>
      <c r="E522" s="4"/>
      <c r="F522" s="4"/>
      <c r="G522" s="5"/>
      <c r="H522" s="19" t="str">
        <f>IF(Tabela2[[#This Row],[REALIZAÇÃO DO ASO]]="","",Tabela2[[#This Row],[REALIZAÇÃO DO ASO]]+365)</f>
        <v/>
      </c>
      <c r="I52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COLABORADOR]]="AFASTADO","AFASTADO",IF(D522&gt;TODAY(),_xlfn.DAYS(D522,TODAY())&amp;" Dia(s) Restante do "&amp;Tabela2[[#This Row],[STATUS COLABORADOR]],IF(D522&lt;TODAY(),"VENCIDO",IF(D522=TODAY(),"ULTIMO DIA DE CONTRATO",)))))))),"")</f>
        <v/>
      </c>
    </row>
    <row r="523" spans="1:11" x14ac:dyDescent="0.25">
      <c r="A523" s="4"/>
      <c r="B523" s="4"/>
      <c r="C523" s="5"/>
      <c r="D523" s="6"/>
      <c r="E523" s="4"/>
      <c r="F523" s="4"/>
      <c r="G523" s="5"/>
      <c r="H523" s="19" t="str">
        <f>IF(Tabela2[[#This Row],[REALIZAÇÃO DO ASO]]="","",Tabela2[[#This Row],[REALIZAÇÃO DO ASO]]+365)</f>
        <v/>
      </c>
      <c r="I52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COLABORADOR]]="AFASTADO","AFASTADO",IF(D523&gt;TODAY(),_xlfn.DAYS(D523,TODAY())&amp;" Dia(s) Restante do "&amp;Tabela2[[#This Row],[STATUS COLABORADOR]],IF(D523&lt;TODAY(),"VENCIDO",IF(D523=TODAY(),"ULTIMO DIA DE CONTRATO",)))))))),"")</f>
        <v/>
      </c>
    </row>
    <row r="524" spans="1:11" x14ac:dyDescent="0.25">
      <c r="A524" s="4"/>
      <c r="B524" s="4"/>
      <c r="C524" s="5"/>
      <c r="D524" s="6"/>
      <c r="E524" s="4"/>
      <c r="F524" s="4"/>
      <c r="G524" s="5"/>
      <c r="H524" s="19" t="str">
        <f>IF(Tabela2[[#This Row],[REALIZAÇÃO DO ASO]]="","",Tabela2[[#This Row],[REALIZAÇÃO DO ASO]]+365)</f>
        <v/>
      </c>
      <c r="I52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COLABORADOR]]="AFASTADO","AFASTADO",IF(D524&gt;TODAY(),_xlfn.DAYS(D524,TODAY())&amp;" Dia(s) Restante do "&amp;Tabela2[[#This Row],[STATUS COLABORADOR]],IF(D524&lt;TODAY(),"VENCIDO",IF(D524=TODAY(),"ULTIMO DIA DE CONTRATO",)))))))),"")</f>
        <v/>
      </c>
    </row>
    <row r="525" spans="1:11" x14ac:dyDescent="0.25">
      <c r="A525" s="4"/>
      <c r="B525" s="4"/>
      <c r="C525" s="5"/>
      <c r="D525" s="6"/>
      <c r="E525" s="4"/>
      <c r="F525" s="4"/>
      <c r="G525" s="5"/>
      <c r="H525" s="19" t="str">
        <f>IF(Tabela2[[#This Row],[REALIZAÇÃO DO ASO]]="","",Tabela2[[#This Row],[REALIZAÇÃO DO ASO]]+365)</f>
        <v/>
      </c>
      <c r="I52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COLABORADOR]]="AFASTADO","AFASTADO",IF(D525&gt;TODAY(),_xlfn.DAYS(D525,TODAY())&amp;" Dia(s) Restante do "&amp;Tabela2[[#This Row],[STATUS COLABORADOR]],IF(D525&lt;TODAY(),"VENCIDO",IF(D525=TODAY(),"ULTIMO DIA DE CONTRATO",)))))))),"")</f>
        <v/>
      </c>
    </row>
    <row r="526" spans="1:11" x14ac:dyDescent="0.25">
      <c r="A526" s="4"/>
      <c r="B526" s="4"/>
      <c r="C526" s="5"/>
      <c r="D526" s="6"/>
      <c r="E526" s="4"/>
      <c r="F526" s="4"/>
      <c r="G526" s="5"/>
      <c r="H526" s="19" t="str">
        <f>IF(Tabela2[[#This Row],[REALIZAÇÃO DO ASO]]="","",Tabela2[[#This Row],[REALIZAÇÃO DO ASO]]+365)</f>
        <v/>
      </c>
      <c r="I52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COLABORADOR]]="AFASTADO","AFASTADO",IF(D526&gt;TODAY(),_xlfn.DAYS(D526,TODAY())&amp;" Dia(s) Restante do "&amp;Tabela2[[#This Row],[STATUS COLABORADOR]],IF(D526&lt;TODAY(),"VENCIDO",IF(D526=TODAY(),"ULTIMO DIA DE CONTRATO",)))))))),"")</f>
        <v/>
      </c>
    </row>
    <row r="527" spans="1:11" x14ac:dyDescent="0.25">
      <c r="A527" s="4"/>
      <c r="B527" s="4"/>
      <c r="C527" s="5"/>
      <c r="D527" s="6"/>
      <c r="E527" s="4"/>
      <c r="F527" s="4"/>
      <c r="G527" s="5"/>
      <c r="H527" s="19" t="str">
        <f>IF(Tabela2[[#This Row],[REALIZAÇÃO DO ASO]]="","",Tabela2[[#This Row],[REALIZAÇÃO DO ASO]]+365)</f>
        <v/>
      </c>
      <c r="I52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COLABORADOR]]="AFASTADO","AFASTADO",IF(D527&gt;TODAY(),_xlfn.DAYS(D527,TODAY())&amp;" Dia(s) Restante do "&amp;Tabela2[[#This Row],[STATUS COLABORADOR]],IF(D527&lt;TODAY(),"VENCIDO",IF(D527=TODAY(),"ULTIMO DIA DE CONTRATO",)))))))),"")</f>
        <v/>
      </c>
    </row>
    <row r="528" spans="1:11" x14ac:dyDescent="0.25">
      <c r="A528" s="4"/>
      <c r="B528" s="4"/>
      <c r="C528" s="5"/>
      <c r="D528" s="6"/>
      <c r="E528" s="4"/>
      <c r="F528" s="4"/>
      <c r="G528" s="5"/>
      <c r="H528" s="19" t="str">
        <f>IF(Tabela2[[#This Row],[REALIZAÇÃO DO ASO]]="","",Tabela2[[#This Row],[REALIZAÇÃO DO ASO]]+365)</f>
        <v/>
      </c>
      <c r="I52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COLABORADOR]]="AFASTADO","AFASTADO",IF(D528&gt;TODAY(),_xlfn.DAYS(D528,TODAY())&amp;" Dia(s) Restante do "&amp;Tabela2[[#This Row],[STATUS COLABORADOR]],IF(D528&lt;TODAY(),"VENCIDO",IF(D528=TODAY(),"ULTIMO DIA DE CONTRATO",)))))))),"")</f>
        <v/>
      </c>
    </row>
    <row r="529" spans="1:11" x14ac:dyDescent="0.25">
      <c r="A529" s="4"/>
      <c r="B529" s="4"/>
      <c r="C529" s="5"/>
      <c r="D529" s="6"/>
      <c r="E529" s="4"/>
      <c r="F529" s="4"/>
      <c r="G529" s="5"/>
      <c r="H529" s="19" t="str">
        <f>IF(Tabela2[[#This Row],[REALIZAÇÃO DO ASO]]="","",Tabela2[[#This Row],[REALIZAÇÃO DO ASO]]+365)</f>
        <v/>
      </c>
      <c r="I52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2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2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COLABORADOR]]="AFASTADO","AFASTADO",IF(D529&gt;TODAY(),_xlfn.DAYS(D529,TODAY())&amp;" Dia(s) Restante do "&amp;Tabela2[[#This Row],[STATUS COLABORADOR]],IF(D529&lt;TODAY(),"VENCIDO",IF(D529=TODAY(),"ULTIMO DIA DE CONTRATO",)))))))),"")</f>
        <v/>
      </c>
    </row>
    <row r="530" spans="1:11" x14ac:dyDescent="0.25">
      <c r="A530" s="4"/>
      <c r="B530" s="4"/>
      <c r="C530" s="5"/>
      <c r="D530" s="6"/>
      <c r="E530" s="4"/>
      <c r="F530" s="4"/>
      <c r="G530" s="5"/>
      <c r="H530" s="19" t="str">
        <f>IF(Tabela2[[#This Row],[REALIZAÇÃO DO ASO]]="","",Tabela2[[#This Row],[REALIZAÇÃO DO ASO]]+365)</f>
        <v/>
      </c>
      <c r="I53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COLABORADOR]]="AFASTADO","AFASTADO",IF(D530&gt;TODAY(),_xlfn.DAYS(D530,TODAY())&amp;" Dia(s) Restante do "&amp;Tabela2[[#This Row],[STATUS COLABORADOR]],IF(D530&lt;TODAY(),"VENCIDO",IF(D530=TODAY(),"ULTIMO DIA DE CONTRATO",)))))))),"")</f>
        <v/>
      </c>
    </row>
    <row r="531" spans="1:11" x14ac:dyDescent="0.25">
      <c r="A531" s="4"/>
      <c r="B531" s="4"/>
      <c r="C531" s="5"/>
      <c r="D531" s="6"/>
      <c r="E531" s="4"/>
      <c r="F531" s="4"/>
      <c r="G531" s="5"/>
      <c r="H531" s="19" t="str">
        <f>IF(Tabela2[[#This Row],[REALIZAÇÃO DO ASO]]="","",Tabela2[[#This Row],[REALIZAÇÃO DO ASO]]+365)</f>
        <v/>
      </c>
      <c r="I53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COLABORADOR]]="AFASTADO","AFASTADO",IF(D531&gt;TODAY(),_xlfn.DAYS(D531,TODAY())&amp;" Dia(s) Restante do "&amp;Tabela2[[#This Row],[STATUS COLABORADOR]],IF(D531&lt;TODAY(),"VENCIDO",IF(D531=TODAY(),"ULTIMO DIA DE CONTRATO",)))))))),"")</f>
        <v/>
      </c>
    </row>
    <row r="532" spans="1:11" x14ac:dyDescent="0.25">
      <c r="A532" s="4"/>
      <c r="B532" s="4"/>
      <c r="C532" s="5"/>
      <c r="D532" s="6"/>
      <c r="E532" s="4"/>
      <c r="F532" s="4"/>
      <c r="G532" s="5"/>
      <c r="H532" s="19" t="str">
        <f>IF(Tabela2[[#This Row],[REALIZAÇÃO DO ASO]]="","",Tabela2[[#This Row],[REALIZAÇÃO DO ASO]]+365)</f>
        <v/>
      </c>
      <c r="I53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COLABORADOR]]="AFASTADO","AFASTADO",IF(D532&gt;TODAY(),_xlfn.DAYS(D532,TODAY())&amp;" Dia(s) Restante do "&amp;Tabela2[[#This Row],[STATUS COLABORADOR]],IF(D532&lt;TODAY(),"VENCIDO",IF(D532=TODAY(),"ULTIMO DIA DE CONTRATO",)))))))),"")</f>
        <v/>
      </c>
    </row>
    <row r="533" spans="1:11" x14ac:dyDescent="0.25">
      <c r="A533" s="4"/>
      <c r="B533" s="4"/>
      <c r="C533" s="5"/>
      <c r="D533" s="6"/>
      <c r="E533" s="4"/>
      <c r="F533" s="4"/>
      <c r="G533" s="5"/>
      <c r="H533" s="19" t="str">
        <f>IF(Tabela2[[#This Row],[REALIZAÇÃO DO ASO]]="","",Tabela2[[#This Row],[REALIZAÇÃO DO ASO]]+365)</f>
        <v/>
      </c>
      <c r="I53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COLABORADOR]]="AFASTADO","AFASTADO",IF(D533&gt;TODAY(),_xlfn.DAYS(D533,TODAY())&amp;" Dia(s) Restante do "&amp;Tabela2[[#This Row],[STATUS COLABORADOR]],IF(D533&lt;TODAY(),"VENCIDO",IF(D533=TODAY(),"ULTIMO DIA DE CONTRATO",)))))))),"")</f>
        <v/>
      </c>
    </row>
    <row r="534" spans="1:11" x14ac:dyDescent="0.25">
      <c r="A534" s="4"/>
      <c r="B534" s="4"/>
      <c r="C534" s="5"/>
      <c r="D534" s="6"/>
      <c r="E534" s="4"/>
      <c r="F534" s="4"/>
      <c r="G534" s="5"/>
      <c r="H534" s="19" t="str">
        <f>IF(Tabela2[[#This Row],[REALIZAÇÃO DO ASO]]="","",Tabela2[[#This Row],[REALIZAÇÃO DO ASO]]+365)</f>
        <v/>
      </c>
      <c r="I53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COLABORADOR]]="AFASTADO","AFASTADO",IF(D534&gt;TODAY(),_xlfn.DAYS(D534,TODAY())&amp;" Dia(s) Restante do "&amp;Tabela2[[#This Row],[STATUS COLABORADOR]],IF(D534&lt;TODAY(),"VENCIDO",IF(D534=TODAY(),"ULTIMO DIA DE CONTRATO",)))))))),"")</f>
        <v/>
      </c>
    </row>
    <row r="535" spans="1:11" x14ac:dyDescent="0.25">
      <c r="A535" s="4"/>
      <c r="B535" s="4"/>
      <c r="C535" s="5"/>
      <c r="D535" s="6"/>
      <c r="E535" s="4"/>
      <c r="F535" s="4"/>
      <c r="G535" s="5"/>
      <c r="H535" s="19" t="str">
        <f>IF(Tabela2[[#This Row],[REALIZAÇÃO DO ASO]]="","",Tabela2[[#This Row],[REALIZAÇÃO DO ASO]]+365)</f>
        <v/>
      </c>
      <c r="I53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COLABORADOR]]="AFASTADO","AFASTADO",IF(D535&gt;TODAY(),_xlfn.DAYS(D535,TODAY())&amp;" Dia(s) Restante do "&amp;Tabela2[[#This Row],[STATUS COLABORADOR]],IF(D535&lt;TODAY(),"VENCIDO",IF(D535=TODAY(),"ULTIMO DIA DE CONTRATO",)))))))),"")</f>
        <v/>
      </c>
    </row>
    <row r="536" spans="1:11" x14ac:dyDescent="0.25">
      <c r="A536" s="4"/>
      <c r="B536" s="4"/>
      <c r="C536" s="5"/>
      <c r="D536" s="6"/>
      <c r="E536" s="4"/>
      <c r="F536" s="4"/>
      <c r="G536" s="5"/>
      <c r="H536" s="19" t="str">
        <f>IF(Tabela2[[#This Row],[REALIZAÇÃO DO ASO]]="","",Tabela2[[#This Row],[REALIZAÇÃO DO ASO]]+365)</f>
        <v/>
      </c>
      <c r="I53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COLABORADOR]]="AFASTADO","AFASTADO",IF(D536&gt;TODAY(),_xlfn.DAYS(D536,TODAY())&amp;" Dia(s) Restante do "&amp;Tabela2[[#This Row],[STATUS COLABORADOR]],IF(D536&lt;TODAY(),"VENCIDO",IF(D536=TODAY(),"ULTIMO DIA DE CONTRATO",)))))))),"")</f>
        <v/>
      </c>
    </row>
    <row r="537" spans="1:11" x14ac:dyDescent="0.25">
      <c r="A537" s="4"/>
      <c r="B537" s="4"/>
      <c r="C537" s="5"/>
      <c r="D537" s="6"/>
      <c r="E537" s="4"/>
      <c r="F537" s="4"/>
      <c r="G537" s="5"/>
      <c r="H537" s="19" t="str">
        <f>IF(Tabela2[[#This Row],[REALIZAÇÃO DO ASO]]="","",Tabela2[[#This Row],[REALIZAÇÃO DO ASO]]+365)</f>
        <v/>
      </c>
      <c r="I53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COLABORADOR]]="AFASTADO","AFASTADO",IF(D537&gt;TODAY(),_xlfn.DAYS(D537,TODAY())&amp;" Dia(s) Restante do "&amp;Tabela2[[#This Row],[STATUS COLABORADOR]],IF(D537&lt;TODAY(),"VENCIDO",IF(D537=TODAY(),"ULTIMO DIA DE CONTRATO",)))))))),"")</f>
        <v/>
      </c>
    </row>
    <row r="538" spans="1:11" x14ac:dyDescent="0.25">
      <c r="A538" s="4"/>
      <c r="B538" s="4"/>
      <c r="C538" s="5"/>
      <c r="D538" s="6"/>
      <c r="E538" s="4"/>
      <c r="F538" s="4"/>
      <c r="G538" s="5"/>
      <c r="H538" s="19" t="str">
        <f>IF(Tabela2[[#This Row],[REALIZAÇÃO DO ASO]]="","",Tabela2[[#This Row],[REALIZAÇÃO DO ASO]]+365)</f>
        <v/>
      </c>
      <c r="I53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COLABORADOR]]="AFASTADO","AFASTADO",IF(D538&gt;TODAY(),_xlfn.DAYS(D538,TODAY())&amp;" Dia(s) Restante do "&amp;Tabela2[[#This Row],[STATUS COLABORADOR]],IF(D538&lt;TODAY(),"VENCIDO",IF(D538=TODAY(),"ULTIMO DIA DE CONTRATO",)))))))),"")</f>
        <v/>
      </c>
    </row>
    <row r="539" spans="1:11" x14ac:dyDescent="0.25">
      <c r="A539" s="4"/>
      <c r="B539" s="4"/>
      <c r="C539" s="5"/>
      <c r="D539" s="6"/>
      <c r="E539" s="4"/>
      <c r="F539" s="4"/>
      <c r="G539" s="5"/>
      <c r="H539" s="19" t="str">
        <f>IF(Tabela2[[#This Row],[REALIZAÇÃO DO ASO]]="","",Tabela2[[#This Row],[REALIZAÇÃO DO ASO]]+365)</f>
        <v/>
      </c>
      <c r="I53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3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3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COLABORADOR]]="AFASTADO","AFASTADO",IF(D539&gt;TODAY(),_xlfn.DAYS(D539,TODAY())&amp;" Dia(s) Restante do "&amp;Tabela2[[#This Row],[STATUS COLABORADOR]],IF(D539&lt;TODAY(),"VENCIDO",IF(D539=TODAY(),"ULTIMO DIA DE CONTRATO",)))))))),"")</f>
        <v/>
      </c>
    </row>
    <row r="540" spans="1:11" x14ac:dyDescent="0.25">
      <c r="A540" s="4"/>
      <c r="B540" s="4"/>
      <c r="C540" s="5"/>
      <c r="D540" s="6"/>
      <c r="E540" s="4"/>
      <c r="F540" s="4"/>
      <c r="G540" s="5"/>
      <c r="H540" s="19" t="str">
        <f>IF(Tabela2[[#This Row],[REALIZAÇÃO DO ASO]]="","",Tabela2[[#This Row],[REALIZAÇÃO DO ASO]]+365)</f>
        <v/>
      </c>
      <c r="I54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COLABORADOR]]="AFASTADO","AFASTADO",IF(D540&gt;TODAY(),_xlfn.DAYS(D540,TODAY())&amp;" Dia(s) Restante do "&amp;Tabela2[[#This Row],[STATUS COLABORADOR]],IF(D540&lt;TODAY(),"VENCIDO",IF(D540=TODAY(),"ULTIMO DIA DE CONTRATO",)))))))),"")</f>
        <v/>
      </c>
    </row>
    <row r="541" spans="1:11" x14ac:dyDescent="0.25">
      <c r="A541" s="4"/>
      <c r="B541" s="4"/>
      <c r="C541" s="5"/>
      <c r="D541" s="6"/>
      <c r="E541" s="4"/>
      <c r="F541" s="4"/>
      <c r="G541" s="5"/>
      <c r="H541" s="19" t="str">
        <f>IF(Tabela2[[#This Row],[REALIZAÇÃO DO ASO]]="","",Tabela2[[#This Row],[REALIZAÇÃO DO ASO]]+365)</f>
        <v/>
      </c>
      <c r="I54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COLABORADOR]]="AFASTADO","AFASTADO",IF(D541&gt;TODAY(),_xlfn.DAYS(D541,TODAY())&amp;" Dia(s) Restante do "&amp;Tabela2[[#This Row],[STATUS COLABORADOR]],IF(D541&lt;TODAY(),"VENCIDO",IF(D541=TODAY(),"ULTIMO DIA DE CONTRATO",)))))))),"")</f>
        <v/>
      </c>
    </row>
    <row r="542" spans="1:11" x14ac:dyDescent="0.25">
      <c r="A542" s="4"/>
      <c r="B542" s="4"/>
      <c r="C542" s="5"/>
      <c r="D542" s="6"/>
      <c r="E542" s="4"/>
      <c r="F542" s="4"/>
      <c r="G542" s="5"/>
      <c r="H542" s="19" t="str">
        <f>IF(Tabela2[[#This Row],[REALIZAÇÃO DO ASO]]="","",Tabela2[[#This Row],[REALIZAÇÃO DO ASO]]+365)</f>
        <v/>
      </c>
      <c r="I54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COLABORADOR]]="AFASTADO","AFASTADO",IF(D542&gt;TODAY(),_xlfn.DAYS(D542,TODAY())&amp;" Dia(s) Restante do "&amp;Tabela2[[#This Row],[STATUS COLABORADOR]],IF(D542&lt;TODAY(),"VENCIDO",IF(D542=TODAY(),"ULTIMO DIA DE CONTRATO",)))))))),"")</f>
        <v/>
      </c>
    </row>
    <row r="543" spans="1:11" x14ac:dyDescent="0.25">
      <c r="A543" s="4"/>
      <c r="B543" s="4"/>
      <c r="C543" s="5"/>
      <c r="D543" s="6"/>
      <c r="E543" s="4"/>
      <c r="F543" s="4"/>
      <c r="G543" s="5"/>
      <c r="H543" s="19" t="str">
        <f>IF(Tabela2[[#This Row],[REALIZAÇÃO DO ASO]]="","",Tabela2[[#This Row],[REALIZAÇÃO DO ASO]]+365)</f>
        <v/>
      </c>
      <c r="I54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COLABORADOR]]="AFASTADO","AFASTADO",IF(D543&gt;TODAY(),_xlfn.DAYS(D543,TODAY())&amp;" Dia(s) Restante do "&amp;Tabela2[[#This Row],[STATUS COLABORADOR]],IF(D543&lt;TODAY(),"VENCIDO",IF(D543=TODAY(),"ULTIMO DIA DE CONTRATO",)))))))),"")</f>
        <v/>
      </c>
    </row>
    <row r="544" spans="1:11" x14ac:dyDescent="0.25">
      <c r="A544" s="4"/>
      <c r="B544" s="4"/>
      <c r="C544" s="5"/>
      <c r="D544" s="6"/>
      <c r="E544" s="4"/>
      <c r="F544" s="4"/>
      <c r="G544" s="5"/>
      <c r="H544" s="19" t="str">
        <f>IF(Tabela2[[#This Row],[REALIZAÇÃO DO ASO]]="","",Tabela2[[#This Row],[REALIZAÇÃO DO ASO]]+365)</f>
        <v/>
      </c>
      <c r="I54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COLABORADOR]]="AFASTADO","AFASTADO",IF(D544&gt;TODAY(),_xlfn.DAYS(D544,TODAY())&amp;" Dia(s) Restante do "&amp;Tabela2[[#This Row],[STATUS COLABORADOR]],IF(D544&lt;TODAY(),"VENCIDO",IF(D544=TODAY(),"ULTIMO DIA DE CONTRATO",)))))))),"")</f>
        <v/>
      </c>
    </row>
    <row r="545" spans="1:11" x14ac:dyDescent="0.25">
      <c r="A545" s="4"/>
      <c r="B545" s="4"/>
      <c r="C545" s="5"/>
      <c r="D545" s="6"/>
      <c r="E545" s="4"/>
      <c r="F545" s="4"/>
      <c r="G545" s="5"/>
      <c r="H545" s="19" t="str">
        <f>IF(Tabela2[[#This Row],[REALIZAÇÃO DO ASO]]="","",Tabela2[[#This Row],[REALIZAÇÃO DO ASO]]+365)</f>
        <v/>
      </c>
      <c r="I54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COLABORADOR]]="AFASTADO","AFASTADO",IF(D545&gt;TODAY(),_xlfn.DAYS(D545,TODAY())&amp;" Dia(s) Restante do "&amp;Tabela2[[#This Row],[STATUS COLABORADOR]],IF(D545&lt;TODAY(),"VENCIDO",IF(D545=TODAY(),"ULTIMO DIA DE CONTRATO",)))))))),"")</f>
        <v/>
      </c>
    </row>
    <row r="546" spans="1:11" x14ac:dyDescent="0.25">
      <c r="A546" s="4"/>
      <c r="B546" s="4"/>
      <c r="C546" s="5"/>
      <c r="D546" s="6"/>
      <c r="E546" s="4"/>
      <c r="F546" s="4"/>
      <c r="G546" s="5"/>
      <c r="H546" s="19" t="str">
        <f>IF(Tabela2[[#This Row],[REALIZAÇÃO DO ASO]]="","",Tabela2[[#This Row],[REALIZAÇÃO DO ASO]]+365)</f>
        <v/>
      </c>
      <c r="I54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COLABORADOR]]="AFASTADO","AFASTADO",IF(D546&gt;TODAY(),_xlfn.DAYS(D546,TODAY())&amp;" Dia(s) Restante do "&amp;Tabela2[[#This Row],[STATUS COLABORADOR]],IF(D546&lt;TODAY(),"VENCIDO",IF(D546=TODAY(),"ULTIMO DIA DE CONTRATO",)))))))),"")</f>
        <v/>
      </c>
    </row>
    <row r="547" spans="1:11" x14ac:dyDescent="0.25">
      <c r="A547" s="4"/>
      <c r="B547" s="4"/>
      <c r="C547" s="5"/>
      <c r="D547" s="6"/>
      <c r="E547" s="4"/>
      <c r="F547" s="4"/>
      <c r="G547" s="5"/>
      <c r="H547" s="19" t="str">
        <f>IF(Tabela2[[#This Row],[REALIZAÇÃO DO ASO]]="","",Tabela2[[#This Row],[REALIZAÇÃO DO ASO]]+365)</f>
        <v/>
      </c>
      <c r="I54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COLABORADOR]]="AFASTADO","AFASTADO",IF(D547&gt;TODAY(),_xlfn.DAYS(D547,TODAY())&amp;" Dia(s) Restante do "&amp;Tabela2[[#This Row],[STATUS COLABORADOR]],IF(D547&lt;TODAY(),"VENCIDO",IF(D547=TODAY(),"ULTIMO DIA DE CONTRATO",)))))))),"")</f>
        <v/>
      </c>
    </row>
    <row r="548" spans="1:11" x14ac:dyDescent="0.25">
      <c r="A548" s="4"/>
      <c r="B548" s="4"/>
      <c r="C548" s="5"/>
      <c r="D548" s="6"/>
      <c r="E548" s="4"/>
      <c r="F548" s="4"/>
      <c r="G548" s="5"/>
      <c r="H548" s="19" t="str">
        <f>IF(Tabela2[[#This Row],[REALIZAÇÃO DO ASO]]="","",Tabela2[[#This Row],[REALIZAÇÃO DO ASO]]+365)</f>
        <v/>
      </c>
      <c r="I54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COLABORADOR]]="AFASTADO","AFASTADO",IF(D548&gt;TODAY(),_xlfn.DAYS(D548,TODAY())&amp;" Dia(s) Restante do "&amp;Tabela2[[#This Row],[STATUS COLABORADOR]],IF(D548&lt;TODAY(),"VENCIDO",IF(D548=TODAY(),"ULTIMO DIA DE CONTRATO",)))))))),"")</f>
        <v/>
      </c>
    </row>
    <row r="549" spans="1:11" x14ac:dyDescent="0.25">
      <c r="A549" s="4"/>
      <c r="B549" s="4"/>
      <c r="C549" s="5"/>
      <c r="D549" s="6"/>
      <c r="E549" s="4"/>
      <c r="F549" s="4"/>
      <c r="G549" s="5"/>
      <c r="H549" s="19" t="str">
        <f>IF(Tabela2[[#This Row],[REALIZAÇÃO DO ASO]]="","",Tabela2[[#This Row],[REALIZAÇÃO DO ASO]]+365)</f>
        <v/>
      </c>
      <c r="I54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4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4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COLABORADOR]]="AFASTADO","AFASTADO",IF(D549&gt;TODAY(),_xlfn.DAYS(D549,TODAY())&amp;" Dia(s) Restante do "&amp;Tabela2[[#This Row],[STATUS COLABORADOR]],IF(D549&lt;TODAY(),"VENCIDO",IF(D549=TODAY(),"ULTIMO DIA DE CONTRATO",)))))))),"")</f>
        <v/>
      </c>
    </row>
    <row r="550" spans="1:11" x14ac:dyDescent="0.25">
      <c r="A550" s="4"/>
      <c r="B550" s="4"/>
      <c r="C550" s="5"/>
      <c r="D550" s="6"/>
      <c r="E550" s="4"/>
      <c r="F550" s="4"/>
      <c r="G550" s="5"/>
      <c r="H550" s="19" t="str">
        <f>IF(Tabela2[[#This Row],[REALIZAÇÃO DO ASO]]="","",Tabela2[[#This Row],[REALIZAÇÃO DO ASO]]+365)</f>
        <v/>
      </c>
      <c r="I55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COLABORADOR]]="AFASTADO","AFASTADO",IF(D550&gt;TODAY(),_xlfn.DAYS(D550,TODAY())&amp;" Dia(s) Restante do "&amp;Tabela2[[#This Row],[STATUS COLABORADOR]],IF(D550&lt;TODAY(),"VENCIDO",IF(D550=TODAY(),"ULTIMO DIA DE CONTRATO",)))))))),"")</f>
        <v/>
      </c>
    </row>
    <row r="551" spans="1:11" x14ac:dyDescent="0.25">
      <c r="A551" s="4"/>
      <c r="B551" s="4"/>
      <c r="C551" s="5"/>
      <c r="D551" s="6"/>
      <c r="E551" s="4"/>
      <c r="F551" s="4"/>
      <c r="G551" s="5"/>
      <c r="H551" s="19" t="str">
        <f>IF(Tabela2[[#This Row],[REALIZAÇÃO DO ASO]]="","",Tabela2[[#This Row],[REALIZAÇÃO DO ASO]]+365)</f>
        <v/>
      </c>
      <c r="I55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COLABORADOR]]="AFASTADO","AFASTADO",IF(D551&gt;TODAY(),_xlfn.DAYS(D551,TODAY())&amp;" Dia(s) Restante do "&amp;Tabela2[[#This Row],[STATUS COLABORADOR]],IF(D551&lt;TODAY(),"VENCIDO",IF(D551=TODAY(),"ULTIMO DIA DE CONTRATO",)))))))),"")</f>
        <v/>
      </c>
    </row>
    <row r="552" spans="1:11" x14ac:dyDescent="0.25">
      <c r="A552" s="4"/>
      <c r="B552" s="4"/>
      <c r="C552" s="5"/>
      <c r="D552" s="6"/>
      <c r="E552" s="4"/>
      <c r="F552" s="4"/>
      <c r="G552" s="5"/>
      <c r="H552" s="19" t="str">
        <f>IF(Tabela2[[#This Row],[REALIZAÇÃO DO ASO]]="","",Tabela2[[#This Row],[REALIZAÇÃO DO ASO]]+365)</f>
        <v/>
      </c>
      <c r="I55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COLABORADOR]]="AFASTADO","AFASTADO",IF(D552&gt;TODAY(),_xlfn.DAYS(D552,TODAY())&amp;" Dia(s) Restante do "&amp;Tabela2[[#This Row],[STATUS COLABORADOR]],IF(D552&lt;TODAY(),"VENCIDO",IF(D552=TODAY(),"ULTIMO DIA DE CONTRATO",)))))))),"")</f>
        <v/>
      </c>
    </row>
    <row r="553" spans="1:11" x14ac:dyDescent="0.25">
      <c r="A553" s="4"/>
      <c r="B553" s="4"/>
      <c r="C553" s="5"/>
      <c r="D553" s="6"/>
      <c r="E553" s="4"/>
      <c r="F553" s="4"/>
      <c r="G553" s="5"/>
      <c r="H553" s="19" t="str">
        <f>IF(Tabela2[[#This Row],[REALIZAÇÃO DO ASO]]="","",Tabela2[[#This Row],[REALIZAÇÃO DO ASO]]+365)</f>
        <v/>
      </c>
      <c r="I55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COLABORADOR]]="AFASTADO","AFASTADO",IF(D553&gt;TODAY(),_xlfn.DAYS(D553,TODAY())&amp;" Dia(s) Restante do "&amp;Tabela2[[#This Row],[STATUS COLABORADOR]],IF(D553&lt;TODAY(),"VENCIDO",IF(D553=TODAY(),"ULTIMO DIA DE CONTRATO",)))))))),"")</f>
        <v/>
      </c>
    </row>
    <row r="554" spans="1:11" x14ac:dyDescent="0.25">
      <c r="A554" s="4"/>
      <c r="B554" s="4"/>
      <c r="C554" s="5"/>
      <c r="D554" s="6"/>
      <c r="E554" s="4"/>
      <c r="F554" s="4"/>
      <c r="G554" s="5"/>
      <c r="H554" s="19" t="str">
        <f>IF(Tabela2[[#This Row],[REALIZAÇÃO DO ASO]]="","",Tabela2[[#This Row],[REALIZAÇÃO DO ASO]]+365)</f>
        <v/>
      </c>
      <c r="I55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COLABORADOR]]="AFASTADO","AFASTADO",IF(D554&gt;TODAY(),_xlfn.DAYS(D554,TODAY())&amp;" Dia(s) Restante do "&amp;Tabela2[[#This Row],[STATUS COLABORADOR]],IF(D554&lt;TODAY(),"VENCIDO",IF(D554=TODAY(),"ULTIMO DIA DE CONTRATO",)))))))),"")</f>
        <v/>
      </c>
    </row>
    <row r="555" spans="1:11" x14ac:dyDescent="0.25">
      <c r="A555" s="4"/>
      <c r="B555" s="4"/>
      <c r="C555" s="5"/>
      <c r="D555" s="6"/>
      <c r="E555" s="4"/>
      <c r="F555" s="4"/>
      <c r="G555" s="5"/>
      <c r="H555" s="19" t="str">
        <f>IF(Tabela2[[#This Row],[REALIZAÇÃO DO ASO]]="","",Tabela2[[#This Row],[REALIZAÇÃO DO ASO]]+365)</f>
        <v/>
      </c>
      <c r="I55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COLABORADOR]]="AFASTADO","AFASTADO",IF(D555&gt;TODAY(),_xlfn.DAYS(D555,TODAY())&amp;" Dia(s) Restante do "&amp;Tabela2[[#This Row],[STATUS COLABORADOR]],IF(D555&lt;TODAY(),"VENCIDO",IF(D555=TODAY(),"ULTIMO DIA DE CONTRATO",)))))))),"")</f>
        <v/>
      </c>
    </row>
    <row r="556" spans="1:11" x14ac:dyDescent="0.25">
      <c r="A556" s="4"/>
      <c r="B556" s="4"/>
      <c r="C556" s="5"/>
      <c r="D556" s="6"/>
      <c r="E556" s="4"/>
      <c r="F556" s="4"/>
      <c r="G556" s="5"/>
      <c r="H556" s="19" t="str">
        <f>IF(Tabela2[[#This Row],[REALIZAÇÃO DO ASO]]="","",Tabela2[[#This Row],[REALIZAÇÃO DO ASO]]+365)</f>
        <v/>
      </c>
      <c r="I55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COLABORADOR]]="AFASTADO","AFASTADO",IF(D556&gt;TODAY(),_xlfn.DAYS(D556,TODAY())&amp;" Dia(s) Restante do "&amp;Tabela2[[#This Row],[STATUS COLABORADOR]],IF(D556&lt;TODAY(),"VENCIDO",IF(D556=TODAY(),"ULTIMO DIA DE CONTRATO",)))))))),"")</f>
        <v/>
      </c>
    </row>
    <row r="557" spans="1:11" x14ac:dyDescent="0.25">
      <c r="A557" s="4"/>
      <c r="B557" s="4"/>
      <c r="C557" s="5"/>
      <c r="D557" s="6"/>
      <c r="E557" s="4"/>
      <c r="F557" s="4"/>
      <c r="G557" s="5"/>
      <c r="H557" s="19" t="str">
        <f>IF(Tabela2[[#This Row],[REALIZAÇÃO DO ASO]]="","",Tabela2[[#This Row],[REALIZAÇÃO DO ASO]]+365)</f>
        <v/>
      </c>
      <c r="I55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COLABORADOR]]="AFASTADO","AFASTADO",IF(D557&gt;TODAY(),_xlfn.DAYS(D557,TODAY())&amp;" Dia(s) Restante do "&amp;Tabela2[[#This Row],[STATUS COLABORADOR]],IF(D557&lt;TODAY(),"VENCIDO",IF(D557=TODAY(),"ULTIMO DIA DE CONTRATO",)))))))),"")</f>
        <v/>
      </c>
    </row>
    <row r="558" spans="1:11" x14ac:dyDescent="0.25">
      <c r="A558" s="4"/>
      <c r="B558" s="4"/>
      <c r="C558" s="5"/>
      <c r="D558" s="6"/>
      <c r="E558" s="4"/>
      <c r="F558" s="4"/>
      <c r="G558" s="5"/>
      <c r="H558" s="19" t="str">
        <f>IF(Tabela2[[#This Row],[REALIZAÇÃO DO ASO]]="","",Tabela2[[#This Row],[REALIZAÇÃO DO ASO]]+365)</f>
        <v/>
      </c>
      <c r="I55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COLABORADOR]]="AFASTADO","AFASTADO",IF(D558&gt;TODAY(),_xlfn.DAYS(D558,TODAY())&amp;" Dia(s) Restante do "&amp;Tabela2[[#This Row],[STATUS COLABORADOR]],IF(D558&lt;TODAY(),"VENCIDO",IF(D558=TODAY(),"ULTIMO DIA DE CONTRATO",)))))))),"")</f>
        <v/>
      </c>
    </row>
    <row r="559" spans="1:11" x14ac:dyDescent="0.25">
      <c r="A559" s="4"/>
      <c r="B559" s="4"/>
      <c r="C559" s="5"/>
      <c r="D559" s="6"/>
      <c r="E559" s="4"/>
      <c r="F559" s="4"/>
      <c r="G559" s="5"/>
      <c r="H559" s="19" t="str">
        <f>IF(Tabela2[[#This Row],[REALIZAÇÃO DO ASO]]="","",Tabela2[[#This Row],[REALIZAÇÃO DO ASO]]+365)</f>
        <v/>
      </c>
      <c r="I55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5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5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COLABORADOR]]="AFASTADO","AFASTADO",IF(D559&gt;TODAY(),_xlfn.DAYS(D559,TODAY())&amp;" Dia(s) Restante do "&amp;Tabela2[[#This Row],[STATUS COLABORADOR]],IF(D559&lt;TODAY(),"VENCIDO",IF(D559=TODAY(),"ULTIMO DIA DE CONTRATO",)))))))),"")</f>
        <v/>
      </c>
    </row>
    <row r="560" spans="1:11" x14ac:dyDescent="0.25">
      <c r="A560" s="4"/>
      <c r="B560" s="4"/>
      <c r="C560" s="5"/>
      <c r="D560" s="6"/>
      <c r="E560" s="4"/>
      <c r="F560" s="4"/>
      <c r="G560" s="5"/>
      <c r="H560" s="19" t="str">
        <f>IF(Tabela2[[#This Row],[REALIZAÇÃO DO ASO]]="","",Tabela2[[#This Row],[REALIZAÇÃO DO ASO]]+365)</f>
        <v/>
      </c>
      <c r="I56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COLABORADOR]]="AFASTADO","AFASTADO",IF(D560&gt;TODAY(),_xlfn.DAYS(D560,TODAY())&amp;" Dia(s) Restante do "&amp;Tabela2[[#This Row],[STATUS COLABORADOR]],IF(D560&lt;TODAY(),"VENCIDO",IF(D560=TODAY(),"ULTIMO DIA DE CONTRATO",)))))))),"")</f>
        <v/>
      </c>
    </row>
    <row r="561" spans="1:11" x14ac:dyDescent="0.25">
      <c r="A561" s="4"/>
      <c r="B561" s="4"/>
      <c r="C561" s="5"/>
      <c r="D561" s="6"/>
      <c r="E561" s="4"/>
      <c r="F561" s="4"/>
      <c r="G561" s="5"/>
      <c r="H561" s="19" t="str">
        <f>IF(Tabela2[[#This Row],[REALIZAÇÃO DO ASO]]="","",Tabela2[[#This Row],[REALIZAÇÃO DO ASO]]+365)</f>
        <v/>
      </c>
      <c r="I56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COLABORADOR]]="AFASTADO","AFASTADO",IF(D561&gt;TODAY(),_xlfn.DAYS(D561,TODAY())&amp;" Dia(s) Restante do "&amp;Tabela2[[#This Row],[STATUS COLABORADOR]],IF(D561&lt;TODAY(),"VENCIDO",IF(D561=TODAY(),"ULTIMO DIA DE CONTRATO",)))))))),"")</f>
        <v/>
      </c>
    </row>
    <row r="562" spans="1:11" x14ac:dyDescent="0.25">
      <c r="A562" s="4"/>
      <c r="B562" s="4"/>
      <c r="C562" s="5"/>
      <c r="D562" s="6"/>
      <c r="E562" s="4"/>
      <c r="F562" s="4"/>
      <c r="G562" s="5"/>
      <c r="H562" s="19" t="str">
        <f>IF(Tabela2[[#This Row],[REALIZAÇÃO DO ASO]]="","",Tabela2[[#This Row],[REALIZAÇÃO DO ASO]]+365)</f>
        <v/>
      </c>
      <c r="I56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COLABORADOR]]="AFASTADO","AFASTADO",IF(D562&gt;TODAY(),_xlfn.DAYS(D562,TODAY())&amp;" Dia(s) Restante do "&amp;Tabela2[[#This Row],[STATUS COLABORADOR]],IF(D562&lt;TODAY(),"VENCIDO",IF(D562=TODAY(),"ULTIMO DIA DE CONTRATO",)))))))),"")</f>
        <v/>
      </c>
    </row>
    <row r="563" spans="1:11" x14ac:dyDescent="0.25">
      <c r="A563" s="4"/>
      <c r="B563" s="4"/>
      <c r="C563" s="5"/>
      <c r="D563" s="6"/>
      <c r="E563" s="4"/>
      <c r="F563" s="4"/>
      <c r="G563" s="5"/>
      <c r="H563" s="19" t="str">
        <f>IF(Tabela2[[#This Row],[REALIZAÇÃO DO ASO]]="","",Tabela2[[#This Row],[REALIZAÇÃO DO ASO]]+365)</f>
        <v/>
      </c>
      <c r="I56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COLABORADOR]]="AFASTADO","AFASTADO",IF(D563&gt;TODAY(),_xlfn.DAYS(D563,TODAY())&amp;" Dia(s) Restante do "&amp;Tabela2[[#This Row],[STATUS COLABORADOR]],IF(D563&lt;TODAY(),"VENCIDO",IF(D563=TODAY(),"ULTIMO DIA DE CONTRATO",)))))))),"")</f>
        <v/>
      </c>
    </row>
    <row r="564" spans="1:11" x14ac:dyDescent="0.25">
      <c r="A564" s="4"/>
      <c r="B564" s="4"/>
      <c r="C564" s="5"/>
      <c r="D564" s="6"/>
      <c r="E564" s="4"/>
      <c r="F564" s="4"/>
      <c r="G564" s="5"/>
      <c r="H564" s="19" t="str">
        <f>IF(Tabela2[[#This Row],[REALIZAÇÃO DO ASO]]="","",Tabela2[[#This Row],[REALIZAÇÃO DO ASO]]+365)</f>
        <v/>
      </c>
      <c r="I56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COLABORADOR]]="AFASTADO","AFASTADO",IF(D564&gt;TODAY(),_xlfn.DAYS(D564,TODAY())&amp;" Dia(s) Restante do "&amp;Tabela2[[#This Row],[STATUS COLABORADOR]],IF(D564&lt;TODAY(),"VENCIDO",IF(D564=TODAY(),"ULTIMO DIA DE CONTRATO",)))))))),"")</f>
        <v/>
      </c>
    </row>
    <row r="565" spans="1:11" x14ac:dyDescent="0.25">
      <c r="A565" s="4"/>
      <c r="B565" s="4"/>
      <c r="C565" s="5"/>
      <c r="D565" s="6"/>
      <c r="E565" s="4"/>
      <c r="F565" s="4"/>
      <c r="G565" s="5"/>
      <c r="H565" s="19" t="str">
        <f>IF(Tabela2[[#This Row],[REALIZAÇÃO DO ASO]]="","",Tabela2[[#This Row],[REALIZAÇÃO DO ASO]]+365)</f>
        <v/>
      </c>
      <c r="I56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COLABORADOR]]="AFASTADO","AFASTADO",IF(D565&gt;TODAY(),_xlfn.DAYS(D565,TODAY())&amp;" Dia(s) Restante do "&amp;Tabela2[[#This Row],[STATUS COLABORADOR]],IF(D565&lt;TODAY(),"VENCIDO",IF(D565=TODAY(),"ULTIMO DIA DE CONTRATO",)))))))),"")</f>
        <v/>
      </c>
    </row>
    <row r="566" spans="1:11" x14ac:dyDescent="0.25">
      <c r="A566" s="4"/>
      <c r="B566" s="4"/>
      <c r="C566" s="5"/>
      <c r="D566" s="6"/>
      <c r="E566" s="4"/>
      <c r="F566" s="4"/>
      <c r="G566" s="5"/>
      <c r="H566" s="19" t="str">
        <f>IF(Tabela2[[#This Row],[REALIZAÇÃO DO ASO]]="","",Tabela2[[#This Row],[REALIZAÇÃO DO ASO]]+365)</f>
        <v/>
      </c>
      <c r="I56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COLABORADOR]]="AFASTADO","AFASTADO",IF(D566&gt;TODAY(),_xlfn.DAYS(D566,TODAY())&amp;" Dia(s) Restante do "&amp;Tabela2[[#This Row],[STATUS COLABORADOR]],IF(D566&lt;TODAY(),"VENCIDO",IF(D566=TODAY(),"ULTIMO DIA DE CONTRATO",)))))))),"")</f>
        <v/>
      </c>
    </row>
    <row r="567" spans="1:11" x14ac:dyDescent="0.25">
      <c r="A567" s="4"/>
      <c r="B567" s="4"/>
      <c r="C567" s="5"/>
      <c r="D567" s="6"/>
      <c r="E567" s="4"/>
      <c r="F567" s="4"/>
      <c r="G567" s="5"/>
      <c r="H567" s="19" t="str">
        <f>IF(Tabela2[[#This Row],[REALIZAÇÃO DO ASO]]="","",Tabela2[[#This Row],[REALIZAÇÃO DO ASO]]+365)</f>
        <v/>
      </c>
      <c r="I56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COLABORADOR]]="AFASTADO","AFASTADO",IF(D567&gt;TODAY(),_xlfn.DAYS(D567,TODAY())&amp;" Dia(s) Restante do "&amp;Tabela2[[#This Row],[STATUS COLABORADOR]],IF(D567&lt;TODAY(),"VENCIDO",IF(D567=TODAY(),"ULTIMO DIA DE CONTRATO",)))))))),"")</f>
        <v/>
      </c>
    </row>
    <row r="568" spans="1:11" x14ac:dyDescent="0.25">
      <c r="A568" s="4"/>
      <c r="B568" s="4"/>
      <c r="C568" s="5"/>
      <c r="D568" s="6"/>
      <c r="E568" s="4"/>
      <c r="F568" s="4"/>
      <c r="G568" s="5"/>
      <c r="H568" s="19" t="str">
        <f>IF(Tabela2[[#This Row],[REALIZAÇÃO DO ASO]]="","",Tabela2[[#This Row],[REALIZAÇÃO DO ASO]]+365)</f>
        <v/>
      </c>
      <c r="I56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COLABORADOR]]="AFASTADO","AFASTADO",IF(D568&gt;TODAY(),_xlfn.DAYS(D568,TODAY())&amp;" Dia(s) Restante do "&amp;Tabela2[[#This Row],[STATUS COLABORADOR]],IF(D568&lt;TODAY(),"VENCIDO",IF(D568=TODAY(),"ULTIMO DIA DE CONTRATO",)))))))),"")</f>
        <v/>
      </c>
    </row>
    <row r="569" spans="1:11" x14ac:dyDescent="0.25">
      <c r="A569" s="4"/>
      <c r="B569" s="4"/>
      <c r="C569" s="5"/>
      <c r="D569" s="6"/>
      <c r="E569" s="4"/>
      <c r="F569" s="4"/>
      <c r="G569" s="5"/>
      <c r="H569" s="19" t="str">
        <f>IF(Tabela2[[#This Row],[REALIZAÇÃO DO ASO]]="","",Tabela2[[#This Row],[REALIZAÇÃO DO ASO]]+365)</f>
        <v/>
      </c>
      <c r="I56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6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6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COLABORADOR]]="AFASTADO","AFASTADO",IF(D569&gt;TODAY(),_xlfn.DAYS(D569,TODAY())&amp;" Dia(s) Restante do "&amp;Tabela2[[#This Row],[STATUS COLABORADOR]],IF(D569&lt;TODAY(),"VENCIDO",IF(D569=TODAY(),"ULTIMO DIA DE CONTRATO",)))))))),"")</f>
        <v/>
      </c>
    </row>
    <row r="570" spans="1:11" x14ac:dyDescent="0.25">
      <c r="A570" s="4"/>
      <c r="B570" s="4"/>
      <c r="C570" s="5"/>
      <c r="D570" s="6"/>
      <c r="E570" s="4"/>
      <c r="F570" s="4"/>
      <c r="G570" s="5"/>
      <c r="H570" s="19" t="str">
        <f>IF(Tabela2[[#This Row],[REALIZAÇÃO DO ASO]]="","",Tabela2[[#This Row],[REALIZAÇÃO DO ASO]]+365)</f>
        <v/>
      </c>
      <c r="I57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COLABORADOR]]="AFASTADO","AFASTADO",IF(D570&gt;TODAY(),_xlfn.DAYS(D570,TODAY())&amp;" Dia(s) Restante do "&amp;Tabela2[[#This Row],[STATUS COLABORADOR]],IF(D570&lt;TODAY(),"VENCIDO",IF(D570=TODAY(),"ULTIMO DIA DE CONTRATO",)))))))),"")</f>
        <v/>
      </c>
    </row>
    <row r="571" spans="1:11" x14ac:dyDescent="0.25">
      <c r="A571" s="4"/>
      <c r="B571" s="4"/>
      <c r="C571" s="5"/>
      <c r="D571" s="6"/>
      <c r="E571" s="4"/>
      <c r="F571" s="4"/>
      <c r="G571" s="5"/>
      <c r="H571" s="19" t="str">
        <f>IF(Tabela2[[#This Row],[REALIZAÇÃO DO ASO]]="","",Tabela2[[#This Row],[REALIZAÇÃO DO ASO]]+365)</f>
        <v/>
      </c>
      <c r="I57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COLABORADOR]]="AFASTADO","AFASTADO",IF(D571&gt;TODAY(),_xlfn.DAYS(D571,TODAY())&amp;" Dia(s) Restante do "&amp;Tabela2[[#This Row],[STATUS COLABORADOR]],IF(D571&lt;TODAY(),"VENCIDO",IF(D571=TODAY(),"ULTIMO DIA DE CONTRATO",)))))))),"")</f>
        <v/>
      </c>
    </row>
    <row r="572" spans="1:11" x14ac:dyDescent="0.25">
      <c r="A572" s="4"/>
      <c r="B572" s="4"/>
      <c r="C572" s="5"/>
      <c r="D572" s="6"/>
      <c r="E572" s="4"/>
      <c r="F572" s="4"/>
      <c r="G572" s="5"/>
      <c r="H572" s="19" t="str">
        <f>IF(Tabela2[[#This Row],[REALIZAÇÃO DO ASO]]="","",Tabela2[[#This Row],[REALIZAÇÃO DO ASO]]+365)</f>
        <v/>
      </c>
      <c r="I57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COLABORADOR]]="AFASTADO","AFASTADO",IF(D572&gt;TODAY(),_xlfn.DAYS(D572,TODAY())&amp;" Dia(s) Restante do "&amp;Tabela2[[#This Row],[STATUS COLABORADOR]],IF(D572&lt;TODAY(),"VENCIDO",IF(D572=TODAY(),"ULTIMO DIA DE CONTRATO",)))))))),"")</f>
        <v/>
      </c>
    </row>
    <row r="573" spans="1:11" x14ac:dyDescent="0.25">
      <c r="A573" s="4"/>
      <c r="B573" s="4"/>
      <c r="C573" s="5"/>
      <c r="D573" s="6"/>
      <c r="E573" s="4"/>
      <c r="F573" s="4"/>
      <c r="G573" s="5"/>
      <c r="H573" s="19" t="str">
        <f>IF(Tabela2[[#This Row],[REALIZAÇÃO DO ASO]]="","",Tabela2[[#This Row],[REALIZAÇÃO DO ASO]]+365)</f>
        <v/>
      </c>
      <c r="I57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COLABORADOR]]="AFASTADO","AFASTADO",IF(D573&gt;TODAY(),_xlfn.DAYS(D573,TODAY())&amp;" Dia(s) Restante do "&amp;Tabela2[[#This Row],[STATUS COLABORADOR]],IF(D573&lt;TODAY(),"VENCIDO",IF(D573=TODAY(),"ULTIMO DIA DE CONTRATO",)))))))),"")</f>
        <v/>
      </c>
    </row>
    <row r="574" spans="1:11" x14ac:dyDescent="0.25">
      <c r="A574" s="4"/>
      <c r="B574" s="4"/>
      <c r="C574" s="5"/>
      <c r="D574" s="6"/>
      <c r="E574" s="4"/>
      <c r="F574" s="4"/>
      <c r="G574" s="5"/>
      <c r="H574" s="19" t="str">
        <f>IF(Tabela2[[#This Row],[REALIZAÇÃO DO ASO]]="","",Tabela2[[#This Row],[REALIZAÇÃO DO ASO]]+365)</f>
        <v/>
      </c>
      <c r="I57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COLABORADOR]]="AFASTADO","AFASTADO",IF(D574&gt;TODAY(),_xlfn.DAYS(D574,TODAY())&amp;" Dia(s) Restante do "&amp;Tabela2[[#This Row],[STATUS COLABORADOR]],IF(D574&lt;TODAY(),"VENCIDO",IF(D574=TODAY(),"ULTIMO DIA DE CONTRATO",)))))))),"")</f>
        <v/>
      </c>
    </row>
    <row r="575" spans="1:11" x14ac:dyDescent="0.25">
      <c r="A575" s="4"/>
      <c r="B575" s="4"/>
      <c r="C575" s="5"/>
      <c r="D575" s="6"/>
      <c r="E575" s="4"/>
      <c r="F575" s="4"/>
      <c r="G575" s="5"/>
      <c r="H575" s="19" t="str">
        <f>IF(Tabela2[[#This Row],[REALIZAÇÃO DO ASO]]="","",Tabela2[[#This Row],[REALIZAÇÃO DO ASO]]+365)</f>
        <v/>
      </c>
      <c r="I57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COLABORADOR]]="AFASTADO","AFASTADO",IF(D575&gt;TODAY(),_xlfn.DAYS(D575,TODAY())&amp;" Dia(s) Restante do "&amp;Tabela2[[#This Row],[STATUS COLABORADOR]],IF(D575&lt;TODAY(),"VENCIDO",IF(D575=TODAY(),"ULTIMO DIA DE CONTRATO",)))))))),"")</f>
        <v/>
      </c>
    </row>
    <row r="576" spans="1:11" x14ac:dyDescent="0.25">
      <c r="A576" s="4"/>
      <c r="B576" s="4"/>
      <c r="C576" s="5"/>
      <c r="D576" s="6"/>
      <c r="E576" s="4"/>
      <c r="F576" s="4"/>
      <c r="G576" s="5"/>
      <c r="H576" s="19" t="str">
        <f>IF(Tabela2[[#This Row],[REALIZAÇÃO DO ASO]]="","",Tabela2[[#This Row],[REALIZAÇÃO DO ASO]]+365)</f>
        <v/>
      </c>
      <c r="I57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COLABORADOR]]="AFASTADO","AFASTADO",IF(D576&gt;TODAY(),_xlfn.DAYS(D576,TODAY())&amp;" Dia(s) Restante do "&amp;Tabela2[[#This Row],[STATUS COLABORADOR]],IF(D576&lt;TODAY(),"VENCIDO",IF(D576=TODAY(),"ULTIMO DIA DE CONTRATO",)))))))),"")</f>
        <v/>
      </c>
    </row>
    <row r="577" spans="1:11" x14ac:dyDescent="0.25">
      <c r="A577" s="4"/>
      <c r="B577" s="4"/>
      <c r="C577" s="5"/>
      <c r="D577" s="6"/>
      <c r="E577" s="4"/>
      <c r="F577" s="4"/>
      <c r="G577" s="5"/>
      <c r="H577" s="19" t="str">
        <f>IF(Tabela2[[#This Row],[REALIZAÇÃO DO ASO]]="","",Tabela2[[#This Row],[REALIZAÇÃO DO ASO]]+365)</f>
        <v/>
      </c>
      <c r="I57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COLABORADOR]]="AFASTADO","AFASTADO",IF(D577&gt;TODAY(),_xlfn.DAYS(D577,TODAY())&amp;" Dia(s) Restante do "&amp;Tabela2[[#This Row],[STATUS COLABORADOR]],IF(D577&lt;TODAY(),"VENCIDO",IF(D577=TODAY(),"ULTIMO DIA DE CONTRATO",)))))))),"")</f>
        <v/>
      </c>
    </row>
    <row r="578" spans="1:11" x14ac:dyDescent="0.25">
      <c r="A578" s="4"/>
      <c r="B578" s="4"/>
      <c r="C578" s="5"/>
      <c r="D578" s="6"/>
      <c r="E578" s="4"/>
      <c r="F578" s="4"/>
      <c r="G578" s="5"/>
      <c r="H578" s="19" t="str">
        <f>IF(Tabela2[[#This Row],[REALIZAÇÃO DO ASO]]="","",Tabela2[[#This Row],[REALIZAÇÃO DO ASO]]+365)</f>
        <v/>
      </c>
      <c r="I57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COLABORADOR]]="AFASTADO","AFASTADO",IF(D578&gt;TODAY(),_xlfn.DAYS(D578,TODAY())&amp;" Dia(s) Restante do "&amp;Tabela2[[#This Row],[STATUS COLABORADOR]],IF(D578&lt;TODAY(),"VENCIDO",IF(D578=TODAY(),"ULTIMO DIA DE CONTRATO",)))))))),"")</f>
        <v/>
      </c>
    </row>
    <row r="579" spans="1:11" x14ac:dyDescent="0.25">
      <c r="A579" s="4"/>
      <c r="B579" s="4"/>
      <c r="C579" s="5"/>
      <c r="D579" s="6"/>
      <c r="E579" s="4"/>
      <c r="F579" s="4"/>
      <c r="G579" s="5"/>
      <c r="H579" s="19" t="str">
        <f>IF(Tabela2[[#This Row],[REALIZAÇÃO DO ASO]]="","",Tabela2[[#This Row],[REALIZAÇÃO DO ASO]]+365)</f>
        <v/>
      </c>
      <c r="I57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7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7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COLABORADOR]]="AFASTADO","AFASTADO",IF(D579&gt;TODAY(),_xlfn.DAYS(D579,TODAY())&amp;" Dia(s) Restante do "&amp;Tabela2[[#This Row],[STATUS COLABORADOR]],IF(D579&lt;TODAY(),"VENCIDO",IF(D579=TODAY(),"ULTIMO DIA DE CONTRATO",)))))))),"")</f>
        <v/>
      </c>
    </row>
    <row r="580" spans="1:11" x14ac:dyDescent="0.25">
      <c r="A580" s="4"/>
      <c r="B580" s="4"/>
      <c r="C580" s="5"/>
      <c r="D580" s="6"/>
      <c r="E580" s="4"/>
      <c r="F580" s="4"/>
      <c r="G580" s="5"/>
      <c r="H580" s="19" t="str">
        <f>IF(Tabela2[[#This Row],[REALIZAÇÃO DO ASO]]="","",Tabela2[[#This Row],[REALIZAÇÃO DO ASO]]+365)</f>
        <v/>
      </c>
      <c r="I58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COLABORADOR]]="AFASTADO","AFASTADO",IF(D580&gt;TODAY(),_xlfn.DAYS(D580,TODAY())&amp;" Dia(s) Restante do "&amp;Tabela2[[#This Row],[STATUS COLABORADOR]],IF(D580&lt;TODAY(),"VENCIDO",IF(D580=TODAY(),"ULTIMO DIA DE CONTRATO",)))))))),"")</f>
        <v/>
      </c>
    </row>
    <row r="581" spans="1:11" x14ac:dyDescent="0.25">
      <c r="A581" s="4"/>
      <c r="B581" s="4"/>
      <c r="C581" s="5"/>
      <c r="D581" s="6"/>
      <c r="E581" s="4"/>
      <c r="F581" s="4"/>
      <c r="G581" s="5"/>
      <c r="H581" s="19" t="str">
        <f>IF(Tabela2[[#This Row],[REALIZAÇÃO DO ASO]]="","",Tabela2[[#This Row],[REALIZAÇÃO DO ASO]]+365)</f>
        <v/>
      </c>
      <c r="I58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COLABORADOR]]="AFASTADO","AFASTADO",IF(D581&gt;TODAY(),_xlfn.DAYS(D581,TODAY())&amp;" Dia(s) Restante do "&amp;Tabela2[[#This Row],[STATUS COLABORADOR]],IF(D581&lt;TODAY(),"VENCIDO",IF(D581=TODAY(),"ULTIMO DIA DE CONTRATO",)))))))),"")</f>
        <v/>
      </c>
    </row>
    <row r="582" spans="1:11" x14ac:dyDescent="0.25">
      <c r="A582" s="4"/>
      <c r="B582" s="4"/>
      <c r="C582" s="5"/>
      <c r="D582" s="6"/>
      <c r="E582" s="4"/>
      <c r="F582" s="4"/>
      <c r="G582" s="5"/>
      <c r="H582" s="19" t="str">
        <f>IF(Tabela2[[#This Row],[REALIZAÇÃO DO ASO]]="","",Tabela2[[#This Row],[REALIZAÇÃO DO ASO]]+365)</f>
        <v/>
      </c>
      <c r="I58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COLABORADOR]]="AFASTADO","AFASTADO",IF(D582&gt;TODAY(),_xlfn.DAYS(D582,TODAY())&amp;" Dia(s) Restante do "&amp;Tabela2[[#This Row],[STATUS COLABORADOR]],IF(D582&lt;TODAY(),"VENCIDO",IF(D582=TODAY(),"ULTIMO DIA DE CONTRATO",)))))))),"")</f>
        <v/>
      </c>
    </row>
    <row r="583" spans="1:11" x14ac:dyDescent="0.25">
      <c r="A583" s="4"/>
      <c r="B583" s="4"/>
      <c r="C583" s="5"/>
      <c r="D583" s="6"/>
      <c r="E583" s="4"/>
      <c r="F583" s="4"/>
      <c r="G583" s="5"/>
      <c r="H583" s="19" t="str">
        <f>IF(Tabela2[[#This Row],[REALIZAÇÃO DO ASO]]="","",Tabela2[[#This Row],[REALIZAÇÃO DO ASO]]+365)</f>
        <v/>
      </c>
      <c r="I58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COLABORADOR]]="AFASTADO","AFASTADO",IF(D583&gt;TODAY(),_xlfn.DAYS(D583,TODAY())&amp;" Dia(s) Restante do "&amp;Tabela2[[#This Row],[STATUS COLABORADOR]],IF(D583&lt;TODAY(),"VENCIDO",IF(D583=TODAY(),"ULTIMO DIA DE CONTRATO",)))))))),"")</f>
        <v/>
      </c>
    </row>
    <row r="584" spans="1:11" x14ac:dyDescent="0.25">
      <c r="A584" s="4"/>
      <c r="B584" s="4"/>
      <c r="C584" s="5"/>
      <c r="D584" s="6"/>
      <c r="E584" s="4"/>
      <c r="F584" s="4"/>
      <c r="G584" s="5"/>
      <c r="H584" s="19" t="str">
        <f>IF(Tabela2[[#This Row],[REALIZAÇÃO DO ASO]]="","",Tabela2[[#This Row],[REALIZAÇÃO DO ASO]]+365)</f>
        <v/>
      </c>
      <c r="I58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COLABORADOR]]="AFASTADO","AFASTADO",IF(D584&gt;TODAY(),_xlfn.DAYS(D584,TODAY())&amp;" Dia(s) Restante do "&amp;Tabela2[[#This Row],[STATUS COLABORADOR]],IF(D584&lt;TODAY(),"VENCIDO",IF(D584=TODAY(),"ULTIMO DIA DE CONTRATO",)))))))),"")</f>
        <v/>
      </c>
    </row>
    <row r="585" spans="1:11" x14ac:dyDescent="0.25">
      <c r="A585" s="4"/>
      <c r="B585" s="4"/>
      <c r="C585" s="5"/>
      <c r="D585" s="6"/>
      <c r="E585" s="4"/>
      <c r="F585" s="4"/>
      <c r="G585" s="5"/>
      <c r="H585" s="19" t="str">
        <f>IF(Tabela2[[#This Row],[REALIZAÇÃO DO ASO]]="","",Tabela2[[#This Row],[REALIZAÇÃO DO ASO]]+365)</f>
        <v/>
      </c>
      <c r="I58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COLABORADOR]]="AFASTADO","AFASTADO",IF(D585&gt;TODAY(),_xlfn.DAYS(D585,TODAY())&amp;" Dia(s) Restante do "&amp;Tabela2[[#This Row],[STATUS COLABORADOR]],IF(D585&lt;TODAY(),"VENCIDO",IF(D585=TODAY(),"ULTIMO DIA DE CONTRATO",)))))))),"")</f>
        <v/>
      </c>
    </row>
    <row r="586" spans="1:11" x14ac:dyDescent="0.25">
      <c r="A586" s="4"/>
      <c r="B586" s="4"/>
      <c r="C586" s="5"/>
      <c r="D586" s="6"/>
      <c r="E586" s="4"/>
      <c r="F586" s="4"/>
      <c r="G586" s="5"/>
      <c r="H586" s="19" t="str">
        <f>IF(Tabela2[[#This Row],[REALIZAÇÃO DO ASO]]="","",Tabela2[[#This Row],[REALIZAÇÃO DO ASO]]+365)</f>
        <v/>
      </c>
      <c r="I58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COLABORADOR]]="AFASTADO","AFASTADO",IF(D586&gt;TODAY(),_xlfn.DAYS(D586,TODAY())&amp;" Dia(s) Restante do "&amp;Tabela2[[#This Row],[STATUS COLABORADOR]],IF(D586&lt;TODAY(),"VENCIDO",IF(D586=TODAY(),"ULTIMO DIA DE CONTRATO",)))))))),"")</f>
        <v/>
      </c>
    </row>
    <row r="587" spans="1:11" x14ac:dyDescent="0.25">
      <c r="A587" s="4"/>
      <c r="B587" s="4"/>
      <c r="C587" s="5"/>
      <c r="D587" s="6"/>
      <c r="E587" s="4"/>
      <c r="F587" s="4"/>
      <c r="G587" s="5"/>
      <c r="H587" s="19" t="str">
        <f>IF(Tabela2[[#This Row],[REALIZAÇÃO DO ASO]]="","",Tabela2[[#This Row],[REALIZAÇÃO DO ASO]]+365)</f>
        <v/>
      </c>
      <c r="I58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COLABORADOR]]="AFASTADO","AFASTADO",IF(D587&gt;TODAY(),_xlfn.DAYS(D587,TODAY())&amp;" Dia(s) Restante do "&amp;Tabela2[[#This Row],[STATUS COLABORADOR]],IF(D587&lt;TODAY(),"VENCIDO",IF(D587=TODAY(),"ULTIMO DIA DE CONTRATO",)))))))),"")</f>
        <v/>
      </c>
    </row>
    <row r="588" spans="1:11" x14ac:dyDescent="0.25">
      <c r="A588" s="4"/>
      <c r="B588" s="4"/>
      <c r="C588" s="5"/>
      <c r="D588" s="6"/>
      <c r="E588" s="4"/>
      <c r="F588" s="4"/>
      <c r="G588" s="5"/>
      <c r="H588" s="19" t="str">
        <f>IF(Tabela2[[#This Row],[REALIZAÇÃO DO ASO]]="","",Tabela2[[#This Row],[REALIZAÇÃO DO ASO]]+365)</f>
        <v/>
      </c>
      <c r="I58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COLABORADOR]]="AFASTADO","AFASTADO",IF(D588&gt;TODAY(),_xlfn.DAYS(D588,TODAY())&amp;" Dia(s) Restante do "&amp;Tabela2[[#This Row],[STATUS COLABORADOR]],IF(D588&lt;TODAY(),"VENCIDO",IF(D588=TODAY(),"ULTIMO DIA DE CONTRATO",)))))))),"")</f>
        <v/>
      </c>
    </row>
    <row r="589" spans="1:11" x14ac:dyDescent="0.25">
      <c r="A589" s="4"/>
      <c r="B589" s="4"/>
      <c r="C589" s="5"/>
      <c r="D589" s="6"/>
      <c r="E589" s="4"/>
      <c r="F589" s="4"/>
      <c r="G589" s="5"/>
      <c r="H589" s="19" t="str">
        <f>IF(Tabela2[[#This Row],[REALIZAÇÃO DO ASO]]="","",Tabela2[[#This Row],[REALIZAÇÃO DO ASO]]+365)</f>
        <v/>
      </c>
      <c r="I58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8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8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COLABORADOR]]="AFASTADO","AFASTADO",IF(D589&gt;TODAY(),_xlfn.DAYS(D589,TODAY())&amp;" Dia(s) Restante do "&amp;Tabela2[[#This Row],[STATUS COLABORADOR]],IF(D589&lt;TODAY(),"VENCIDO",IF(D589=TODAY(),"ULTIMO DIA DE CONTRATO",)))))))),"")</f>
        <v/>
      </c>
    </row>
    <row r="590" spans="1:11" x14ac:dyDescent="0.25">
      <c r="A590" s="4"/>
      <c r="B590" s="4"/>
      <c r="C590" s="5"/>
      <c r="D590" s="6"/>
      <c r="E590" s="4"/>
      <c r="F590" s="4"/>
      <c r="G590" s="5"/>
      <c r="H590" s="19" t="str">
        <f>IF(Tabela2[[#This Row],[REALIZAÇÃO DO ASO]]="","",Tabela2[[#This Row],[REALIZAÇÃO DO ASO]]+365)</f>
        <v/>
      </c>
      <c r="I59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COLABORADOR]]="AFASTADO","AFASTADO",IF(D590&gt;TODAY(),_xlfn.DAYS(D590,TODAY())&amp;" Dia(s) Restante do "&amp;Tabela2[[#This Row],[STATUS COLABORADOR]],IF(D590&lt;TODAY(),"VENCIDO",IF(D590=TODAY(),"ULTIMO DIA DE CONTRATO",)))))))),"")</f>
        <v/>
      </c>
    </row>
    <row r="591" spans="1:11" x14ac:dyDescent="0.25">
      <c r="A591" s="4"/>
      <c r="B591" s="4"/>
      <c r="C591" s="5"/>
      <c r="D591" s="6"/>
      <c r="E591" s="4"/>
      <c r="F591" s="4"/>
      <c r="G591" s="5"/>
      <c r="H591" s="19" t="str">
        <f>IF(Tabela2[[#This Row],[REALIZAÇÃO DO ASO]]="","",Tabela2[[#This Row],[REALIZAÇÃO DO ASO]]+365)</f>
        <v/>
      </c>
      <c r="I59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COLABORADOR]]="AFASTADO","AFASTADO",IF(D591&gt;TODAY(),_xlfn.DAYS(D591,TODAY())&amp;" Dia(s) Restante do "&amp;Tabela2[[#This Row],[STATUS COLABORADOR]],IF(D591&lt;TODAY(),"VENCIDO",IF(D591=TODAY(),"ULTIMO DIA DE CONTRATO",)))))))),"")</f>
        <v/>
      </c>
    </row>
    <row r="592" spans="1:11" x14ac:dyDescent="0.25">
      <c r="A592" s="4"/>
      <c r="B592" s="4"/>
      <c r="C592" s="5"/>
      <c r="D592" s="6"/>
      <c r="E592" s="4"/>
      <c r="F592" s="4"/>
      <c r="G592" s="5"/>
      <c r="H592" s="19" t="str">
        <f>IF(Tabela2[[#This Row],[REALIZAÇÃO DO ASO]]="","",Tabela2[[#This Row],[REALIZAÇÃO DO ASO]]+365)</f>
        <v/>
      </c>
      <c r="I59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COLABORADOR]]="AFASTADO","AFASTADO",IF(D592&gt;TODAY(),_xlfn.DAYS(D592,TODAY())&amp;" Dia(s) Restante do "&amp;Tabela2[[#This Row],[STATUS COLABORADOR]],IF(D592&lt;TODAY(),"VENCIDO",IF(D592=TODAY(),"ULTIMO DIA DE CONTRATO",)))))))),"")</f>
        <v/>
      </c>
    </row>
    <row r="593" spans="1:11" x14ac:dyDescent="0.25">
      <c r="A593" s="4"/>
      <c r="B593" s="4"/>
      <c r="C593" s="5"/>
      <c r="D593" s="6"/>
      <c r="E593" s="4"/>
      <c r="F593" s="4"/>
      <c r="G593" s="5"/>
      <c r="H593" s="19" t="str">
        <f>IF(Tabela2[[#This Row],[REALIZAÇÃO DO ASO]]="","",Tabela2[[#This Row],[REALIZAÇÃO DO ASO]]+365)</f>
        <v/>
      </c>
      <c r="I59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COLABORADOR]]="AFASTADO","AFASTADO",IF(D593&gt;TODAY(),_xlfn.DAYS(D593,TODAY())&amp;" Dia(s) Restante do "&amp;Tabela2[[#This Row],[STATUS COLABORADOR]],IF(D593&lt;TODAY(),"VENCIDO",IF(D593=TODAY(),"ULTIMO DIA DE CONTRATO",)))))))),"")</f>
        <v/>
      </c>
    </row>
    <row r="594" spans="1:11" x14ac:dyDescent="0.25">
      <c r="A594" s="4"/>
      <c r="B594" s="4"/>
      <c r="C594" s="5"/>
      <c r="D594" s="6"/>
      <c r="E594" s="4"/>
      <c r="F594" s="4"/>
      <c r="G594" s="5"/>
      <c r="H594" s="19" t="str">
        <f>IF(Tabela2[[#This Row],[REALIZAÇÃO DO ASO]]="","",Tabela2[[#This Row],[REALIZAÇÃO DO ASO]]+365)</f>
        <v/>
      </c>
      <c r="I59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COLABORADOR]]="AFASTADO","AFASTADO",IF(D594&gt;TODAY(),_xlfn.DAYS(D594,TODAY())&amp;" Dia(s) Restante do "&amp;Tabela2[[#This Row],[STATUS COLABORADOR]],IF(D594&lt;TODAY(),"VENCIDO",IF(D594=TODAY(),"ULTIMO DIA DE CONTRATO",)))))))),"")</f>
        <v/>
      </c>
    </row>
    <row r="595" spans="1:11" x14ac:dyDescent="0.25">
      <c r="A595" s="4"/>
      <c r="B595" s="4"/>
      <c r="C595" s="5"/>
      <c r="D595" s="6"/>
      <c r="E595" s="4"/>
      <c r="F595" s="4"/>
      <c r="G595" s="5"/>
      <c r="H595" s="19" t="str">
        <f>IF(Tabela2[[#This Row],[REALIZAÇÃO DO ASO]]="","",Tabela2[[#This Row],[REALIZAÇÃO DO ASO]]+365)</f>
        <v/>
      </c>
      <c r="I59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COLABORADOR]]="AFASTADO","AFASTADO",IF(D595&gt;TODAY(),_xlfn.DAYS(D595,TODAY())&amp;" Dia(s) Restante do "&amp;Tabela2[[#This Row],[STATUS COLABORADOR]],IF(D595&lt;TODAY(),"VENCIDO",IF(D595=TODAY(),"ULTIMO DIA DE CONTRATO",)))))))),"")</f>
        <v/>
      </c>
    </row>
    <row r="596" spans="1:11" x14ac:dyDescent="0.25">
      <c r="A596" s="4"/>
      <c r="B596" s="4"/>
      <c r="C596" s="5"/>
      <c r="D596" s="6"/>
      <c r="E596" s="4"/>
      <c r="F596" s="4"/>
      <c r="G596" s="5"/>
      <c r="H596" s="19" t="str">
        <f>IF(Tabela2[[#This Row],[REALIZAÇÃO DO ASO]]="","",Tabela2[[#This Row],[REALIZAÇÃO DO ASO]]+365)</f>
        <v/>
      </c>
      <c r="I59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COLABORADOR]]="AFASTADO","AFASTADO",IF(D596&gt;TODAY(),_xlfn.DAYS(D596,TODAY())&amp;" Dia(s) Restante do "&amp;Tabela2[[#This Row],[STATUS COLABORADOR]],IF(D596&lt;TODAY(),"VENCIDO",IF(D596=TODAY(),"ULTIMO DIA DE CONTRATO",)))))))),"")</f>
        <v/>
      </c>
    </row>
    <row r="597" spans="1:11" x14ac:dyDescent="0.25">
      <c r="A597" s="4"/>
      <c r="B597" s="4"/>
      <c r="C597" s="5"/>
      <c r="D597" s="6"/>
      <c r="E597" s="4"/>
      <c r="F597" s="4"/>
      <c r="G597" s="5"/>
      <c r="H597" s="19" t="str">
        <f>IF(Tabela2[[#This Row],[REALIZAÇÃO DO ASO]]="","",Tabela2[[#This Row],[REALIZAÇÃO DO ASO]]+365)</f>
        <v/>
      </c>
      <c r="I59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COLABORADOR]]="AFASTADO","AFASTADO",IF(D597&gt;TODAY(),_xlfn.DAYS(D597,TODAY())&amp;" Dia(s) Restante do "&amp;Tabela2[[#This Row],[STATUS COLABORADOR]],IF(D597&lt;TODAY(),"VENCIDO",IF(D597=TODAY(),"ULTIMO DIA DE CONTRATO",)))))))),"")</f>
        <v/>
      </c>
    </row>
    <row r="598" spans="1:11" x14ac:dyDescent="0.25">
      <c r="A598" s="4"/>
      <c r="B598" s="4"/>
      <c r="C598" s="5"/>
      <c r="D598" s="6"/>
      <c r="E598" s="4"/>
      <c r="F598" s="4"/>
      <c r="G598" s="5"/>
      <c r="H598" s="19" t="str">
        <f>IF(Tabela2[[#This Row],[REALIZAÇÃO DO ASO]]="","",Tabela2[[#This Row],[REALIZAÇÃO DO ASO]]+365)</f>
        <v/>
      </c>
      <c r="I59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COLABORADOR]]="AFASTADO","AFASTADO",IF(D598&gt;TODAY(),_xlfn.DAYS(D598,TODAY())&amp;" Dia(s) Restante do "&amp;Tabela2[[#This Row],[STATUS COLABORADOR]],IF(D598&lt;TODAY(),"VENCIDO",IF(D598=TODAY(),"ULTIMO DIA DE CONTRATO",)))))))),"")</f>
        <v/>
      </c>
    </row>
    <row r="599" spans="1:11" x14ac:dyDescent="0.25">
      <c r="A599" s="4"/>
      <c r="B599" s="4"/>
      <c r="C599" s="5"/>
      <c r="D599" s="6"/>
      <c r="E599" s="4"/>
      <c r="F599" s="4"/>
      <c r="G599" s="5"/>
      <c r="H599" s="19" t="str">
        <f>IF(Tabela2[[#This Row],[REALIZAÇÃO DO ASO]]="","",Tabela2[[#This Row],[REALIZAÇÃO DO ASO]]+365)</f>
        <v/>
      </c>
      <c r="I59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59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59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COLABORADOR]]="AFASTADO","AFASTADO",IF(D599&gt;TODAY(),_xlfn.DAYS(D599,TODAY())&amp;" Dia(s) Restante do "&amp;Tabela2[[#This Row],[STATUS COLABORADOR]],IF(D599&lt;TODAY(),"VENCIDO",IF(D599=TODAY(),"ULTIMO DIA DE CONTRATO",)))))))),"")</f>
        <v/>
      </c>
    </row>
    <row r="600" spans="1:11" x14ac:dyDescent="0.25">
      <c r="A600" s="4"/>
      <c r="B600" s="4"/>
      <c r="C600" s="5"/>
      <c r="D600" s="6"/>
      <c r="E600" s="4"/>
      <c r="F600" s="4"/>
      <c r="G600" s="5"/>
      <c r="H600" s="19" t="str">
        <f>IF(Tabela2[[#This Row],[REALIZAÇÃO DO ASO]]="","",Tabela2[[#This Row],[REALIZAÇÃO DO ASO]]+365)</f>
        <v/>
      </c>
      <c r="I60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COLABORADOR]]="AFASTADO","AFASTADO",IF(D600&gt;TODAY(),_xlfn.DAYS(D600,TODAY())&amp;" Dia(s) Restante do "&amp;Tabela2[[#This Row],[STATUS COLABORADOR]],IF(D600&lt;TODAY(),"VENCIDO",IF(D600=TODAY(),"ULTIMO DIA DE CONTRATO",)))))))),"")</f>
        <v/>
      </c>
    </row>
    <row r="601" spans="1:11" x14ac:dyDescent="0.25">
      <c r="A601" s="4"/>
      <c r="B601" s="4"/>
      <c r="C601" s="5"/>
      <c r="D601" s="6"/>
      <c r="E601" s="4"/>
      <c r="F601" s="4"/>
      <c r="G601" s="5"/>
      <c r="H601" s="19" t="str">
        <f>IF(Tabela2[[#This Row],[REALIZAÇÃO DO ASO]]="","",Tabela2[[#This Row],[REALIZAÇÃO DO ASO]]+365)</f>
        <v/>
      </c>
      <c r="I601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1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1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COLABORADOR]]="AFASTADO","AFASTADO",IF(D601&gt;TODAY(),_xlfn.DAYS(D601,TODAY())&amp;" Dia(s) Restante do "&amp;Tabela2[[#This Row],[STATUS COLABORADOR]],IF(D601&lt;TODAY(),"VENCIDO",IF(D601=TODAY(),"ULTIMO DIA DE CONTRATO",)))))))),"")</f>
        <v/>
      </c>
    </row>
    <row r="602" spans="1:11" x14ac:dyDescent="0.25">
      <c r="A602" s="4"/>
      <c r="B602" s="4"/>
      <c r="C602" s="5"/>
      <c r="D602" s="6"/>
      <c r="E602" s="4"/>
      <c r="F602" s="4"/>
      <c r="G602" s="5"/>
      <c r="H602" s="19" t="str">
        <f>IF(Tabela2[[#This Row],[REALIZAÇÃO DO ASO]]="","",Tabela2[[#This Row],[REALIZAÇÃO DO ASO]]+365)</f>
        <v/>
      </c>
      <c r="I602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2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2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COLABORADOR]]="AFASTADO","AFASTADO",IF(D602&gt;TODAY(),_xlfn.DAYS(D602,TODAY())&amp;" Dia(s) Restante do "&amp;Tabela2[[#This Row],[STATUS COLABORADOR]],IF(D602&lt;TODAY(),"VENCIDO",IF(D602=TODAY(),"ULTIMO DIA DE CONTRATO",)))))))),"")</f>
        <v/>
      </c>
    </row>
    <row r="603" spans="1:11" x14ac:dyDescent="0.25">
      <c r="A603" s="4"/>
      <c r="B603" s="4"/>
      <c r="C603" s="5"/>
      <c r="D603" s="6"/>
      <c r="E603" s="4"/>
      <c r="F603" s="4"/>
      <c r="G603" s="5"/>
      <c r="H603" s="19" t="str">
        <f>IF(Tabela2[[#This Row],[REALIZAÇÃO DO ASO]]="","",Tabela2[[#This Row],[REALIZAÇÃO DO ASO]]+365)</f>
        <v/>
      </c>
      <c r="I603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3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3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COLABORADOR]]="AFASTADO","AFASTADO",IF(D603&gt;TODAY(),_xlfn.DAYS(D603,TODAY())&amp;" Dia(s) Restante do "&amp;Tabela2[[#This Row],[STATUS COLABORADOR]],IF(D603&lt;TODAY(),"VENCIDO",IF(D603=TODAY(),"ULTIMO DIA DE CONTRATO",)))))))),"")</f>
        <v/>
      </c>
    </row>
    <row r="604" spans="1:11" x14ac:dyDescent="0.25">
      <c r="A604" s="4"/>
      <c r="B604" s="4"/>
      <c r="C604" s="5"/>
      <c r="D604" s="6"/>
      <c r="E604" s="4"/>
      <c r="F604" s="4"/>
      <c r="G604" s="5"/>
      <c r="H604" s="19" t="str">
        <f>IF(Tabela2[[#This Row],[REALIZAÇÃO DO ASO]]="","",Tabela2[[#This Row],[REALIZAÇÃO DO ASO]]+365)</f>
        <v/>
      </c>
      <c r="I604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4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4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COLABORADOR]]="AFASTADO","AFASTADO",IF(D604&gt;TODAY(),_xlfn.DAYS(D604,TODAY())&amp;" Dia(s) Restante do "&amp;Tabela2[[#This Row],[STATUS COLABORADOR]],IF(D604&lt;TODAY(),"VENCIDO",IF(D604=TODAY(),"ULTIMO DIA DE CONTRATO",)))))))),"")</f>
        <v/>
      </c>
    </row>
    <row r="605" spans="1:11" x14ac:dyDescent="0.25">
      <c r="A605" s="4"/>
      <c r="B605" s="4"/>
      <c r="C605" s="5"/>
      <c r="D605" s="6"/>
      <c r="E605" s="4"/>
      <c r="F605" s="4"/>
      <c r="G605" s="5"/>
      <c r="H605" s="19" t="str">
        <f>IF(Tabela2[[#This Row],[REALIZAÇÃO DO ASO]]="","",Tabela2[[#This Row],[REALIZAÇÃO DO ASO]]+365)</f>
        <v/>
      </c>
      <c r="I605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5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5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COLABORADOR]]="AFASTADO","AFASTADO",IF(D605&gt;TODAY(),_xlfn.DAYS(D605,TODAY())&amp;" Dia(s) Restante do "&amp;Tabela2[[#This Row],[STATUS COLABORADOR]],IF(D605&lt;TODAY(),"VENCIDO",IF(D605=TODAY(),"ULTIMO DIA DE CONTRATO",)))))))),"")</f>
        <v/>
      </c>
    </row>
    <row r="606" spans="1:11" x14ac:dyDescent="0.25">
      <c r="A606" s="4"/>
      <c r="B606" s="4"/>
      <c r="C606" s="5"/>
      <c r="D606" s="6"/>
      <c r="E606" s="4"/>
      <c r="F606" s="4"/>
      <c r="G606" s="5"/>
      <c r="H606" s="19" t="str">
        <f>IF(Tabela2[[#This Row],[REALIZAÇÃO DO ASO]]="","",Tabela2[[#This Row],[REALIZAÇÃO DO ASO]]+365)</f>
        <v/>
      </c>
      <c r="I606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6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6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COLABORADOR]]="AFASTADO","AFASTADO",IF(D606&gt;TODAY(),_xlfn.DAYS(D606,TODAY())&amp;" Dia(s) Restante do "&amp;Tabela2[[#This Row],[STATUS COLABORADOR]],IF(D606&lt;TODAY(),"VENCIDO",IF(D606=TODAY(),"ULTIMO DIA DE CONTRATO",)))))))),"")</f>
        <v/>
      </c>
    </row>
    <row r="607" spans="1:11" x14ac:dyDescent="0.25">
      <c r="A607" s="4"/>
      <c r="B607" s="4"/>
      <c r="C607" s="5"/>
      <c r="D607" s="6"/>
      <c r="E607" s="4"/>
      <c r="F607" s="4"/>
      <c r="G607" s="5"/>
      <c r="H607" s="19" t="str">
        <f>IF(Tabela2[[#This Row],[REALIZAÇÃO DO ASO]]="","",Tabela2[[#This Row],[REALIZAÇÃO DO ASO]]+365)</f>
        <v/>
      </c>
      <c r="I607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7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7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COLABORADOR]]="AFASTADO","AFASTADO",IF(D607&gt;TODAY(),_xlfn.DAYS(D607,TODAY())&amp;" Dia(s) Restante do "&amp;Tabela2[[#This Row],[STATUS COLABORADOR]],IF(D607&lt;TODAY(),"VENCIDO",IF(D607=TODAY(),"ULTIMO DIA DE CONTRATO",)))))))),"")</f>
        <v/>
      </c>
    </row>
    <row r="608" spans="1:11" x14ac:dyDescent="0.25">
      <c r="A608" s="4"/>
      <c r="B608" s="4"/>
      <c r="C608" s="5"/>
      <c r="D608" s="6"/>
      <c r="E608" s="4"/>
      <c r="F608" s="4"/>
      <c r="G608" s="5"/>
      <c r="H608" s="19" t="str">
        <f>IF(Tabela2[[#This Row],[REALIZAÇÃO DO ASO]]="","",Tabela2[[#This Row],[REALIZAÇÃO DO ASO]]+365)</f>
        <v/>
      </c>
      <c r="I608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8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8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COLABORADOR]]="AFASTADO","AFASTADO",IF(D608&gt;TODAY(),_xlfn.DAYS(D608,TODAY())&amp;" Dia(s) Restante do "&amp;Tabela2[[#This Row],[STATUS COLABORADOR]],IF(D608&lt;TODAY(),"VENCIDO",IF(D608=TODAY(),"ULTIMO DIA DE CONTRATO",)))))))),"")</f>
        <v/>
      </c>
    </row>
    <row r="609" spans="1:11" x14ac:dyDescent="0.25">
      <c r="A609" s="4"/>
      <c r="B609" s="4"/>
      <c r="C609" s="5"/>
      <c r="D609" s="6"/>
      <c r="E609" s="4"/>
      <c r="F609" s="4"/>
      <c r="G609" s="5"/>
      <c r="H609" s="19" t="str">
        <f>IF(Tabela2[[#This Row],[REALIZAÇÃO DO ASO]]="","",Tabela2[[#This Row],[REALIZAÇÃO DO ASO]]+365)</f>
        <v/>
      </c>
      <c r="I609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09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09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COLABORADOR]]="AFASTADO","AFASTADO",IF(D609&gt;TODAY(),_xlfn.DAYS(D609,TODAY())&amp;" Dia(s) Restante do "&amp;Tabela2[[#This Row],[STATUS COLABORADOR]],IF(D609&lt;TODAY(),"VENCIDO",IF(D609=TODAY(),"ULTIMO DIA DE CONTRATO",)))))))),"")</f>
        <v/>
      </c>
    </row>
    <row r="610" spans="1:11" x14ac:dyDescent="0.25">
      <c r="A610" s="4"/>
      <c r="B610" s="4"/>
      <c r="C610" s="5"/>
      <c r="D610" s="6"/>
      <c r="E610" s="4"/>
      <c r="F610" s="4"/>
      <c r="G610" s="5"/>
      <c r="H610" s="19" t="str">
        <f>IF(Tabela2[[#This Row],[REALIZAÇÃO DO ASO]]="","",Tabela2[[#This Row],[REALIZAÇÃO DO ASO]]+365)</f>
        <v/>
      </c>
      <c r="I610" s="19" t="str">
        <f ca="1">IF(Tabela2[[#This Row],[PROXIMO ASO]]="","",IF(Tabela2[[#This Row],[PROXIMO ASO]]&gt;TODAY(),_xlfn.DAYS(Tabela2[[#This Row],[PROXIMO ASO]],TODAY())&amp;" Dia(s) Restante",IF(Tabela2[[#This Row],[PROXIMO ASO]]&lt;TODAY(),"VENCIDO",IF(Tabela2[[#This Row],[PROXIMO ASO]]=TODAY(),"ULTIMO DIA DO ASO",))))</f>
        <v/>
      </c>
      <c r="J610" s="19" t="str">
        <f ca="1">IF(Tabela2[[#This Row],[SITUAÇÃO DO ASO]]="","",IF(Tabela2[[#This Row],[SITUAÇÃO DO ASO]]="VENCIDO","VENCIDO",IF(Tabela2[[#This Row],[SITUAÇÃO DO ASO]]="ULTIMO DIA DO ASO","ULTIMO DIA DO ASO",IF(Tabela2[[#This Row],[SITUAÇÃO DO ASO]]="1 Dia(s) Restante","1 Dia(s) Restante",IF(Tabela2[[#This Row],[SITUAÇÃO DO ASO]]="2 Dia(s) Restante","2 Dia(s) Restante",IF(Tabela2[[#This Row],[SITUAÇÃO DO ASO]]="3 Dia(s) Restante","3 Dia(s) Restante","DENTRO DO PRAZO"))))))</f>
        <v/>
      </c>
      <c r="K610" s="1" t="str">
        <f ca="1">IFERROR(IF(Tabela2[[#This Row],[NOME]]="","",IF(Tabela2[[#This Row],[ADMISSÃO]]="","AGUARDANDO DATAS DO CONTRATO",IF(Tabela2[[#This Row],[STATUS COLABORADOR]]="DESLIGADO","DESLIGADO",IF(Tabela2[[#This Row],[STATUS COLABORADOR]]="EFETIVO","EFETIVO",IF(Tabela2[[#This Row],[STATUS COLABORADOR]]="AFASTADO","AFASTADO",IF(D610&gt;TODAY(),_xlfn.DAYS(D610,TODAY())&amp;" Dia(s) Restante do "&amp;Tabela2[[#This Row],[STATUS COLABORADOR]],IF(D610&lt;TODAY(),"VENCIDO",IF(D610=TODAY(),"ULTIMO DIA DE CONTRATO",)))))))),"")</f>
        <v/>
      </c>
    </row>
    <row r="611" spans="1:11" x14ac:dyDescent="0.25">
      <c r="D611" s="6"/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D1"/>
    <mergeCell ref="E1:F1"/>
  </mergeCells>
  <conditionalFormatting sqref="I3:J610">
    <cfRule type="cellIs" dxfId="1560" priority="1" operator="equal">
      <formula>"ULTIMO DIA DO ASO"</formula>
    </cfRule>
    <cfRule type="cellIs" dxfId="1559" priority="5" operator="equal">
      <formula>"VENCIDO"</formula>
    </cfRule>
    <cfRule type="cellIs" dxfId="1558" priority="6" operator="equal">
      <formula>"1 Dia(s) Restante"</formula>
    </cfRule>
    <cfRule type="cellIs" dxfId="1557" priority="7" operator="equal">
      <formula>"2 Dia(s) Restante"</formula>
    </cfRule>
    <cfRule type="cellIs" dxfId="1556" priority="8" operator="equal">
      <formula>"3 Dia(s) Restante"</formula>
    </cfRule>
    <cfRule type="cellIs" dxfId="1555" priority="10" operator="equal">
      <formula>"ULTIMO DIA DE CONTRATO"</formula>
    </cfRule>
  </conditionalFormatting>
  <conditionalFormatting sqref="K1:K1048576">
    <cfRule type="cellIs" dxfId="1554" priority="4" operator="equal">
      <formula>"DESLIGADO"</formula>
    </cfRule>
  </conditionalFormatting>
  <conditionalFormatting sqref="K3:K610">
    <cfRule type="cellIs" dxfId="1553" priority="11" operator="equal">
      <formula>"AGUARDANDO DATAS DO CONTRATO"</formula>
    </cfRule>
    <cfRule type="cellIs" dxfId="1552" priority="12" operator="equal">
      <formula>"EFETIVO"</formula>
    </cfRule>
    <cfRule type="cellIs" dxfId="1551" priority="13" operator="equal">
      <formula>"VENCIDO"</formula>
    </cfRule>
    <cfRule type="cellIs" dxfId="1550" priority="14" operator="equal">
      <formula>"AFASTADO"</formula>
    </cfRule>
    <cfRule type="cellIs" dxfId="1549" priority="15" operator="equal">
      <formula>"3 Dia(s) Restante"</formula>
    </cfRule>
    <cfRule type="cellIs" dxfId="1548" priority="16" operator="equal">
      <formula>"2 Dia(s) Restante"</formula>
    </cfRule>
    <cfRule type="cellIs" dxfId="1547" priority="17" operator="equal">
      <formula>"1 Dia(s) Restante"</formula>
    </cfRule>
    <cfRule type="containsText" dxfId="1546" priority="18" operator="containsText" text="ULTIMO DIA DE CONTRATO">
      <formula>NOT(ISERROR(SEARCH("ULTIMO DIA DE CONTRATO",K3)))</formula>
    </cfRule>
  </conditionalFormatting>
  <dataValidations count="3">
    <dataValidation type="list" allowBlank="1" showInputMessage="1" showErrorMessage="1" sqref="B3:B21 B23:B72 B74 B76:B80 B82:B610" xr:uid="{1ED8FB2D-63D5-4F4A-B6FA-B9D88547ABC2}">
      <formula1>INDIRECT("FUNCAO")</formula1>
    </dataValidation>
    <dataValidation type="list" allowBlank="1" showInputMessage="1" showErrorMessage="1" sqref="E3:E610" xr:uid="{6BF0F05D-55E7-4540-8147-AB62C990F39A}">
      <formula1>INDIRECT("CONTRATO")</formula1>
    </dataValidation>
    <dataValidation type="list" allowBlank="1" showInputMessage="1" showErrorMessage="1" sqref="F3:F610" xr:uid="{1B19B88A-4A53-46A1-8A15-4A479DBE7C67}">
      <formula1>INDIRECT("SITUACAO")</formula1>
    </dataValidation>
  </dataValidations>
  <pageMargins left="0.25" right="0.25" top="0.75" bottom="0.75" header="0.3" footer="0.3"/>
  <pageSetup paperSize="9" scale="87" fitToHeight="0" orientation="landscape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4792-9AA9-4EB1-9638-D884F6EB27FC}">
  <dimension ref="A1:J200"/>
  <sheetViews>
    <sheetView workbookViewId="0">
      <pane ySplit="2" topLeftCell="A3" activePane="bottomLeft" state="frozen"/>
      <selection pane="bottomLeft" activeCell="C12" sqref="C12"/>
    </sheetView>
  </sheetViews>
  <sheetFormatPr defaultColWidth="0" defaultRowHeight="15" x14ac:dyDescent="0.25"/>
  <cols>
    <col min="1" max="1" width="25.7109375" style="4" bestFit="1" customWidth="1"/>
    <col min="2" max="2" width="27.85546875" style="2" bestFit="1" customWidth="1"/>
    <col min="3" max="3" width="32.85546875" style="5" customWidth="1"/>
    <col min="4" max="4" width="51.42578125" style="2" customWidth="1"/>
    <col min="5" max="5" width="45.85546875" customWidth="1"/>
    <col min="6" max="10" width="0" hidden="1" customWidth="1"/>
    <col min="11" max="16384" width="9.140625" hidden="1"/>
  </cols>
  <sheetData>
    <row r="1" spans="1:5" ht="78" customHeight="1" x14ac:dyDescent="0.25">
      <c r="A1" s="71"/>
      <c r="B1" s="71"/>
      <c r="C1" s="71"/>
      <c r="D1" s="9"/>
      <c r="E1" s="8"/>
    </row>
    <row r="2" spans="1:5" x14ac:dyDescent="0.25">
      <c r="A2" s="11" t="s">
        <v>119</v>
      </c>
      <c r="B2" s="11" t="s">
        <v>24</v>
      </c>
      <c r="C2" s="27" t="s">
        <v>23</v>
      </c>
      <c r="D2" s="11" t="s">
        <v>25</v>
      </c>
      <c r="E2" s="12" t="s">
        <v>4</v>
      </c>
    </row>
    <row r="3" spans="1:5" x14ac:dyDescent="0.25">
      <c r="A3" s="4" t="s">
        <v>30</v>
      </c>
      <c r="B3" s="2" t="s">
        <v>112</v>
      </c>
      <c r="C3" s="5">
        <v>46022</v>
      </c>
      <c r="D3" s="10"/>
      <c r="E3" s="1" t="str">
        <f t="shared" ref="E3:E34" ca="1" si="0">IFERROR(IF(A3="","",IF(C3="","DIGITE DATA DE VENCIMENTO",IF(C3&lt;TODAY(),"VENCIDO",IF(C3=TODAY(),"ULTIMO DIA",IF(C3&gt;TODAY(),_xlfn.DAYS(C3,TODAY())&amp;" Dia(s) Restante"))))),"")</f>
        <v>VENCIDO</v>
      </c>
    </row>
    <row r="4" spans="1:5" x14ac:dyDescent="0.25">
      <c r="A4" s="4" t="s">
        <v>30</v>
      </c>
      <c r="B4" s="2" t="s">
        <v>113</v>
      </c>
      <c r="C4" s="5">
        <v>46258</v>
      </c>
      <c r="D4" s="10"/>
      <c r="E4" s="1" t="str">
        <f t="shared" ca="1" si="0"/>
        <v>VENCIDO</v>
      </c>
    </row>
    <row r="5" spans="1:5" x14ac:dyDescent="0.25">
      <c r="A5" s="4" t="s">
        <v>30</v>
      </c>
      <c r="B5" s="2" t="s">
        <v>114</v>
      </c>
      <c r="C5" s="5">
        <v>46176</v>
      </c>
      <c r="D5" s="10"/>
      <c r="E5" s="1" t="str">
        <f t="shared" ca="1" si="0"/>
        <v>VENCIDO</v>
      </c>
    </row>
    <row r="6" spans="1:5" x14ac:dyDescent="0.25">
      <c r="A6" s="4" t="s">
        <v>30</v>
      </c>
      <c r="B6" s="2" t="s">
        <v>115</v>
      </c>
      <c r="C6" s="5">
        <v>46258</v>
      </c>
      <c r="D6" s="10"/>
      <c r="E6" s="1" t="str">
        <f t="shared" ca="1" si="0"/>
        <v>VENCIDO</v>
      </c>
    </row>
    <row r="7" spans="1:5" x14ac:dyDescent="0.25">
      <c r="A7" s="4" t="s">
        <v>30</v>
      </c>
      <c r="B7" s="2" t="s">
        <v>116</v>
      </c>
      <c r="C7" s="5">
        <v>46355</v>
      </c>
      <c r="D7" s="10"/>
      <c r="E7" s="1" t="str">
        <f t="shared" ca="1" si="0"/>
        <v>37 Dia(s) Restante</v>
      </c>
    </row>
    <row r="8" spans="1:5" x14ac:dyDescent="0.25">
      <c r="A8" s="4" t="s">
        <v>30</v>
      </c>
      <c r="B8" s="2" t="s">
        <v>28</v>
      </c>
      <c r="C8" s="5">
        <v>46579</v>
      </c>
      <c r="D8" s="10"/>
      <c r="E8" s="1" t="str">
        <f t="shared" ca="1" si="0"/>
        <v>261 Dia(s) Restante</v>
      </c>
    </row>
    <row r="9" spans="1:5" x14ac:dyDescent="0.25">
      <c r="A9" s="4" t="s">
        <v>30</v>
      </c>
      <c r="B9" s="2" t="s">
        <v>27</v>
      </c>
      <c r="C9" s="5">
        <v>46507</v>
      </c>
      <c r="D9" s="10"/>
      <c r="E9" s="1" t="str">
        <f t="shared" ca="1" si="0"/>
        <v>189 Dia(s) Restante</v>
      </c>
    </row>
    <row r="10" spans="1:5" x14ac:dyDescent="0.25">
      <c r="A10" s="4" t="s">
        <v>117</v>
      </c>
      <c r="B10" s="2" t="s">
        <v>62</v>
      </c>
      <c r="C10" s="5">
        <v>46320</v>
      </c>
      <c r="D10" s="10"/>
      <c r="E10" s="1" t="str">
        <f t="shared" ca="1" si="0"/>
        <v>2 Dia(s) Restante</v>
      </c>
    </row>
    <row r="11" spans="1:5" x14ac:dyDescent="0.25">
      <c r="A11" s="4" t="s">
        <v>117</v>
      </c>
      <c r="B11" s="2" t="s">
        <v>64</v>
      </c>
      <c r="C11" s="5">
        <v>46280</v>
      </c>
      <c r="D11" s="10"/>
      <c r="E11" s="1" t="str">
        <f t="shared" ca="1" si="0"/>
        <v>VENCIDO</v>
      </c>
    </row>
    <row r="12" spans="1:5" x14ac:dyDescent="0.25">
      <c r="A12" s="4" t="s">
        <v>117</v>
      </c>
      <c r="B12" s="2" t="s">
        <v>65</v>
      </c>
      <c r="C12" s="5">
        <v>45962</v>
      </c>
      <c r="D12" s="10"/>
      <c r="E12" s="1" t="str">
        <f t="shared" ca="1" si="0"/>
        <v>VENCIDO</v>
      </c>
    </row>
    <row r="13" spans="1:5" x14ac:dyDescent="0.25">
      <c r="A13" s="4" t="s">
        <v>117</v>
      </c>
      <c r="B13" s="2" t="s">
        <v>63</v>
      </c>
      <c r="C13" s="5">
        <v>45919</v>
      </c>
      <c r="D13" s="10"/>
      <c r="E13" s="1" t="str">
        <f t="shared" ca="1" si="0"/>
        <v>VENCIDO</v>
      </c>
    </row>
    <row r="14" spans="1:5" x14ac:dyDescent="0.25">
      <c r="A14" s="4" t="s">
        <v>117</v>
      </c>
      <c r="B14" s="2" t="s">
        <v>66</v>
      </c>
      <c r="C14" s="5">
        <v>46006</v>
      </c>
      <c r="D14" s="10"/>
      <c r="E14" s="1" t="str">
        <f t="shared" ca="1" si="0"/>
        <v>VENCIDO</v>
      </c>
    </row>
    <row r="15" spans="1:5" x14ac:dyDescent="0.25">
      <c r="A15" s="4" t="s">
        <v>117</v>
      </c>
      <c r="B15" s="2" t="s">
        <v>67</v>
      </c>
      <c r="C15" s="5">
        <v>45976</v>
      </c>
      <c r="D15" s="10"/>
      <c r="E15" s="1" t="str">
        <f t="shared" ca="1" si="0"/>
        <v>VENCIDO</v>
      </c>
    </row>
    <row r="16" spans="1:5" x14ac:dyDescent="0.25">
      <c r="A16" s="4" t="s">
        <v>117</v>
      </c>
      <c r="B16" s="2" t="s">
        <v>68</v>
      </c>
      <c r="C16" s="5">
        <v>46310</v>
      </c>
      <c r="D16" s="10"/>
      <c r="E16" s="1" t="str">
        <f t="shared" ca="1" si="0"/>
        <v>VENCIDO</v>
      </c>
    </row>
    <row r="17" spans="1:5" x14ac:dyDescent="0.25">
      <c r="A17" s="4" t="s">
        <v>117</v>
      </c>
      <c r="B17" s="2" t="s">
        <v>120</v>
      </c>
      <c r="C17" s="5">
        <v>46280</v>
      </c>
      <c r="D17" s="10"/>
      <c r="E17" s="1" t="str">
        <f t="shared" ca="1" si="0"/>
        <v>VENCIDO</v>
      </c>
    </row>
    <row r="18" spans="1:5" x14ac:dyDescent="0.25">
      <c r="A18" s="4" t="s">
        <v>118</v>
      </c>
      <c r="B18" s="2" t="s">
        <v>62</v>
      </c>
      <c r="C18" s="5">
        <v>45835</v>
      </c>
      <c r="D18" s="10"/>
      <c r="E18" s="1" t="str">
        <f t="shared" ca="1" si="0"/>
        <v>VENCIDO</v>
      </c>
    </row>
    <row r="19" spans="1:5" x14ac:dyDescent="0.25">
      <c r="A19" s="4" t="s">
        <v>118</v>
      </c>
      <c r="B19" s="2" t="s">
        <v>64</v>
      </c>
      <c r="C19" s="5">
        <v>45113</v>
      </c>
      <c r="D19" s="10"/>
      <c r="E19" s="1" t="str">
        <f t="shared" ca="1" si="0"/>
        <v>VENCIDO</v>
      </c>
    </row>
    <row r="20" spans="1:5" x14ac:dyDescent="0.25">
      <c r="A20" s="4" t="s">
        <v>118</v>
      </c>
      <c r="B20" s="2" t="s">
        <v>65</v>
      </c>
      <c r="C20" s="5">
        <v>45923</v>
      </c>
      <c r="D20" s="10"/>
      <c r="E20" s="1" t="str">
        <f t="shared" ca="1" si="0"/>
        <v>VENCIDO</v>
      </c>
    </row>
    <row r="21" spans="1:5" x14ac:dyDescent="0.25">
      <c r="A21" s="4" t="s">
        <v>118</v>
      </c>
      <c r="B21" s="2" t="s">
        <v>63</v>
      </c>
      <c r="C21" s="5">
        <v>45190</v>
      </c>
      <c r="D21" s="10"/>
      <c r="E21" s="1" t="str">
        <f t="shared" ca="1" si="0"/>
        <v>VENCIDO</v>
      </c>
    </row>
    <row r="22" spans="1:5" x14ac:dyDescent="0.25">
      <c r="A22" s="4" t="s">
        <v>118</v>
      </c>
      <c r="B22" s="2" t="s">
        <v>66</v>
      </c>
      <c r="C22" s="5">
        <v>46468</v>
      </c>
      <c r="D22" s="10"/>
      <c r="E22" s="1" t="str">
        <f t="shared" ca="1" si="0"/>
        <v>150 Dia(s) Restante</v>
      </c>
    </row>
    <row r="23" spans="1:5" x14ac:dyDescent="0.25">
      <c r="A23" s="4" t="s">
        <v>118</v>
      </c>
      <c r="B23" s="2" t="s">
        <v>67</v>
      </c>
      <c r="C23" s="5">
        <v>46423</v>
      </c>
      <c r="D23" s="10"/>
      <c r="E23" s="1" t="str">
        <f t="shared" ca="1" si="0"/>
        <v>105 Dia(s) Restante</v>
      </c>
    </row>
    <row r="24" spans="1:5" x14ac:dyDescent="0.25">
      <c r="A24" s="4" t="s">
        <v>118</v>
      </c>
      <c r="B24" s="2" t="s">
        <v>68</v>
      </c>
      <c r="C24" s="5">
        <v>45606</v>
      </c>
      <c r="D24" s="10"/>
      <c r="E24" s="1" t="str">
        <f t="shared" ca="1" si="0"/>
        <v>VENCIDO</v>
      </c>
    </row>
    <row r="25" spans="1:5" x14ac:dyDescent="0.25">
      <c r="A25" s="4" t="s">
        <v>118</v>
      </c>
      <c r="B25" s="2" t="s">
        <v>120</v>
      </c>
      <c r="C25" s="5">
        <v>46423</v>
      </c>
      <c r="D25" s="10"/>
      <c r="E25" s="1" t="str">
        <f t="shared" ca="1" si="0"/>
        <v>105 Dia(s) Restante</v>
      </c>
    </row>
    <row r="26" spans="1:5" x14ac:dyDescent="0.25">
      <c r="D26" s="10"/>
      <c r="E26" s="1" t="str">
        <f t="shared" ca="1" si="0"/>
        <v/>
      </c>
    </row>
    <row r="27" spans="1:5" x14ac:dyDescent="0.25">
      <c r="D27" s="10"/>
      <c r="E27" s="1" t="str">
        <f t="shared" ca="1" si="0"/>
        <v/>
      </c>
    </row>
    <row r="28" spans="1:5" x14ac:dyDescent="0.25">
      <c r="D28" s="10"/>
      <c r="E28" s="1" t="str">
        <f t="shared" ca="1" si="0"/>
        <v/>
      </c>
    </row>
    <row r="29" spans="1:5" x14ac:dyDescent="0.25">
      <c r="D29" s="10"/>
      <c r="E29" s="1" t="str">
        <f t="shared" ca="1" si="0"/>
        <v/>
      </c>
    </row>
    <row r="30" spans="1:5" x14ac:dyDescent="0.25">
      <c r="D30" s="10"/>
      <c r="E30" s="1" t="str">
        <f t="shared" ca="1" si="0"/>
        <v/>
      </c>
    </row>
    <row r="31" spans="1:5" x14ac:dyDescent="0.25">
      <c r="D31" s="10"/>
      <c r="E31" s="1" t="str">
        <f t="shared" ca="1" si="0"/>
        <v/>
      </c>
    </row>
    <row r="32" spans="1:5" x14ac:dyDescent="0.25">
      <c r="D32" s="10"/>
      <c r="E32" s="1" t="str">
        <f t="shared" ca="1" si="0"/>
        <v/>
      </c>
    </row>
    <row r="33" spans="4:5" x14ac:dyDescent="0.25">
      <c r="D33" s="10"/>
      <c r="E33" s="1" t="str">
        <f t="shared" ca="1" si="0"/>
        <v/>
      </c>
    </row>
    <row r="34" spans="4:5" x14ac:dyDescent="0.25">
      <c r="D34" s="10"/>
      <c r="E34" s="1" t="str">
        <f t="shared" ca="1" si="0"/>
        <v/>
      </c>
    </row>
    <row r="35" spans="4:5" x14ac:dyDescent="0.25">
      <c r="D35" s="10"/>
      <c r="E35" s="1" t="str">
        <f t="shared" ref="E35:E66" ca="1" si="1">IFERROR(IF(A35="","",IF(C35="","DIGITE DATA DE VENCIMENTO",IF(C35&lt;TODAY(),"VENCIDO",IF(C35=TODAY(),"ULTIMO DIA",IF(C35&gt;TODAY(),_xlfn.DAYS(C35,TODAY())&amp;" Dia(s) Restante"))))),"")</f>
        <v/>
      </c>
    </row>
    <row r="36" spans="4:5" x14ac:dyDescent="0.25">
      <c r="D36" s="10"/>
      <c r="E36" s="1" t="str">
        <f t="shared" ca="1" si="1"/>
        <v/>
      </c>
    </row>
    <row r="37" spans="4:5" x14ac:dyDescent="0.25">
      <c r="D37" s="10"/>
      <c r="E37" s="1" t="str">
        <f t="shared" ca="1" si="1"/>
        <v/>
      </c>
    </row>
    <row r="38" spans="4:5" x14ac:dyDescent="0.25">
      <c r="D38" s="10"/>
      <c r="E38" s="1" t="str">
        <f t="shared" ca="1" si="1"/>
        <v/>
      </c>
    </row>
    <row r="39" spans="4:5" x14ac:dyDescent="0.25">
      <c r="D39" s="10"/>
      <c r="E39" s="1" t="str">
        <f t="shared" ca="1" si="1"/>
        <v/>
      </c>
    </row>
    <row r="40" spans="4:5" x14ac:dyDescent="0.25">
      <c r="D40" s="10"/>
      <c r="E40" s="1" t="str">
        <f t="shared" ca="1" si="1"/>
        <v/>
      </c>
    </row>
    <row r="41" spans="4:5" x14ac:dyDescent="0.25">
      <c r="D41" s="10"/>
      <c r="E41" s="1" t="str">
        <f t="shared" ca="1" si="1"/>
        <v/>
      </c>
    </row>
    <row r="42" spans="4:5" x14ac:dyDescent="0.25">
      <c r="D42" s="10"/>
      <c r="E42" s="1" t="str">
        <f t="shared" ca="1" si="1"/>
        <v/>
      </c>
    </row>
    <row r="43" spans="4:5" x14ac:dyDescent="0.25">
      <c r="D43" s="10"/>
      <c r="E43" s="1" t="str">
        <f t="shared" ca="1" si="1"/>
        <v/>
      </c>
    </row>
    <row r="44" spans="4:5" x14ac:dyDescent="0.25">
      <c r="D44" s="10"/>
      <c r="E44" s="1" t="str">
        <f t="shared" ca="1" si="1"/>
        <v/>
      </c>
    </row>
    <row r="45" spans="4:5" x14ac:dyDescent="0.25">
      <c r="D45" s="10"/>
      <c r="E45" s="1" t="str">
        <f t="shared" ca="1" si="1"/>
        <v/>
      </c>
    </row>
    <row r="46" spans="4:5" x14ac:dyDescent="0.25">
      <c r="D46" s="10"/>
      <c r="E46" s="1" t="str">
        <f t="shared" ca="1" si="1"/>
        <v/>
      </c>
    </row>
    <row r="47" spans="4:5" x14ac:dyDescent="0.25">
      <c r="D47" s="10"/>
      <c r="E47" s="1" t="str">
        <f t="shared" ca="1" si="1"/>
        <v/>
      </c>
    </row>
    <row r="48" spans="4:5" x14ac:dyDescent="0.25">
      <c r="D48" s="10"/>
      <c r="E48" s="1" t="str">
        <f t="shared" ca="1" si="1"/>
        <v/>
      </c>
    </row>
    <row r="49" spans="4:5" x14ac:dyDescent="0.25">
      <c r="D49" s="10"/>
      <c r="E49" s="1" t="str">
        <f t="shared" ca="1" si="1"/>
        <v/>
      </c>
    </row>
    <row r="50" spans="4:5" x14ac:dyDescent="0.25">
      <c r="D50" s="10"/>
      <c r="E50" s="1" t="str">
        <f t="shared" ca="1" si="1"/>
        <v/>
      </c>
    </row>
    <row r="51" spans="4:5" x14ac:dyDescent="0.25">
      <c r="D51" s="10"/>
      <c r="E51" s="1" t="str">
        <f t="shared" ca="1" si="1"/>
        <v/>
      </c>
    </row>
    <row r="52" spans="4:5" x14ac:dyDescent="0.25">
      <c r="D52" s="10"/>
      <c r="E52" s="1" t="str">
        <f t="shared" ca="1" si="1"/>
        <v/>
      </c>
    </row>
    <row r="53" spans="4:5" x14ac:dyDescent="0.25">
      <c r="D53" s="10"/>
      <c r="E53" s="1" t="str">
        <f t="shared" ca="1" si="1"/>
        <v/>
      </c>
    </row>
    <row r="54" spans="4:5" x14ac:dyDescent="0.25">
      <c r="D54" s="10"/>
      <c r="E54" s="1" t="str">
        <f t="shared" ca="1" si="1"/>
        <v/>
      </c>
    </row>
    <row r="55" spans="4:5" x14ac:dyDescent="0.25">
      <c r="D55" s="10"/>
      <c r="E55" s="1" t="str">
        <f t="shared" ca="1" si="1"/>
        <v/>
      </c>
    </row>
    <row r="56" spans="4:5" x14ac:dyDescent="0.25">
      <c r="D56" s="10"/>
      <c r="E56" s="1" t="str">
        <f t="shared" ca="1" si="1"/>
        <v/>
      </c>
    </row>
    <row r="57" spans="4:5" x14ac:dyDescent="0.25">
      <c r="D57" s="10"/>
      <c r="E57" s="1" t="str">
        <f t="shared" ca="1" si="1"/>
        <v/>
      </c>
    </row>
    <row r="58" spans="4:5" x14ac:dyDescent="0.25">
      <c r="D58" s="10"/>
      <c r="E58" s="1" t="str">
        <f t="shared" ca="1" si="1"/>
        <v/>
      </c>
    </row>
    <row r="59" spans="4:5" x14ac:dyDescent="0.25">
      <c r="D59" s="10"/>
      <c r="E59" s="1" t="str">
        <f t="shared" ca="1" si="1"/>
        <v/>
      </c>
    </row>
    <row r="60" spans="4:5" x14ac:dyDescent="0.25">
      <c r="D60" s="10"/>
      <c r="E60" s="1" t="str">
        <f t="shared" ca="1" si="1"/>
        <v/>
      </c>
    </row>
    <row r="61" spans="4:5" x14ac:dyDescent="0.25">
      <c r="D61" s="10"/>
      <c r="E61" s="1" t="str">
        <f t="shared" ca="1" si="1"/>
        <v/>
      </c>
    </row>
    <row r="62" spans="4:5" x14ac:dyDescent="0.25">
      <c r="D62" s="10"/>
      <c r="E62" s="1" t="str">
        <f t="shared" ca="1" si="1"/>
        <v/>
      </c>
    </row>
    <row r="63" spans="4:5" x14ac:dyDescent="0.25">
      <c r="D63" s="10"/>
      <c r="E63" s="1" t="str">
        <f t="shared" ca="1" si="1"/>
        <v/>
      </c>
    </row>
    <row r="64" spans="4:5" x14ac:dyDescent="0.25">
      <c r="D64" s="10"/>
      <c r="E64" s="1" t="str">
        <f t="shared" ca="1" si="1"/>
        <v/>
      </c>
    </row>
    <row r="65" spans="4:5" x14ac:dyDescent="0.25">
      <c r="D65" s="10"/>
      <c r="E65" s="1" t="str">
        <f t="shared" ca="1" si="1"/>
        <v/>
      </c>
    </row>
    <row r="66" spans="4:5" x14ac:dyDescent="0.25">
      <c r="D66" s="10"/>
      <c r="E66" s="1" t="str">
        <f t="shared" ca="1" si="1"/>
        <v/>
      </c>
    </row>
    <row r="67" spans="4:5" x14ac:dyDescent="0.25">
      <c r="D67" s="10"/>
      <c r="E67" s="1" t="str">
        <f t="shared" ref="E67:E98" ca="1" si="2">IFERROR(IF(A67="","",IF(C67="","DIGITE DATA DE VENCIMENTO",IF(C67&lt;TODAY(),"VENCIDO",IF(C67=TODAY(),"ULTIMO DIA",IF(C67&gt;TODAY(),_xlfn.DAYS(C67,TODAY())&amp;" Dia(s) Restante"))))),"")</f>
        <v/>
      </c>
    </row>
    <row r="68" spans="4:5" x14ac:dyDescent="0.25">
      <c r="D68" s="10"/>
      <c r="E68" s="1" t="str">
        <f t="shared" ca="1" si="2"/>
        <v/>
      </c>
    </row>
    <row r="69" spans="4:5" x14ac:dyDescent="0.25">
      <c r="D69" s="10"/>
      <c r="E69" s="1" t="str">
        <f t="shared" ca="1" si="2"/>
        <v/>
      </c>
    </row>
    <row r="70" spans="4:5" x14ac:dyDescent="0.25">
      <c r="D70" s="10"/>
      <c r="E70" s="1" t="str">
        <f t="shared" ca="1" si="2"/>
        <v/>
      </c>
    </row>
    <row r="71" spans="4:5" x14ac:dyDescent="0.25">
      <c r="D71" s="10"/>
      <c r="E71" s="1" t="str">
        <f t="shared" ca="1" si="2"/>
        <v/>
      </c>
    </row>
    <row r="72" spans="4:5" x14ac:dyDescent="0.25">
      <c r="D72" s="10"/>
      <c r="E72" s="1" t="str">
        <f t="shared" ca="1" si="2"/>
        <v/>
      </c>
    </row>
    <row r="73" spans="4:5" x14ac:dyDescent="0.25">
      <c r="D73" s="10"/>
      <c r="E73" s="1" t="str">
        <f t="shared" ca="1" si="2"/>
        <v/>
      </c>
    </row>
    <row r="74" spans="4:5" x14ac:dyDescent="0.25">
      <c r="D74" s="10"/>
      <c r="E74" s="1" t="str">
        <f t="shared" ca="1" si="2"/>
        <v/>
      </c>
    </row>
    <row r="75" spans="4:5" x14ac:dyDescent="0.25">
      <c r="D75" s="10"/>
      <c r="E75" s="1" t="str">
        <f t="shared" ca="1" si="2"/>
        <v/>
      </c>
    </row>
    <row r="76" spans="4:5" x14ac:dyDescent="0.25">
      <c r="D76" s="10"/>
      <c r="E76" s="1" t="str">
        <f t="shared" ca="1" si="2"/>
        <v/>
      </c>
    </row>
    <row r="77" spans="4:5" x14ac:dyDescent="0.25">
      <c r="D77" s="10"/>
      <c r="E77" s="1" t="str">
        <f t="shared" ca="1" si="2"/>
        <v/>
      </c>
    </row>
    <row r="78" spans="4:5" x14ac:dyDescent="0.25">
      <c r="D78" s="10"/>
      <c r="E78" s="1" t="str">
        <f t="shared" ca="1" si="2"/>
        <v/>
      </c>
    </row>
    <row r="79" spans="4:5" x14ac:dyDescent="0.25">
      <c r="D79" s="10"/>
      <c r="E79" s="1" t="str">
        <f t="shared" ca="1" si="2"/>
        <v/>
      </c>
    </row>
    <row r="80" spans="4:5" x14ac:dyDescent="0.25">
      <c r="D80" s="10"/>
      <c r="E80" s="1" t="str">
        <f t="shared" ca="1" si="2"/>
        <v/>
      </c>
    </row>
    <row r="81" spans="4:5" x14ac:dyDescent="0.25">
      <c r="D81" s="10"/>
      <c r="E81" s="1" t="str">
        <f t="shared" ca="1" si="2"/>
        <v/>
      </c>
    </row>
    <row r="82" spans="4:5" x14ac:dyDescent="0.25">
      <c r="D82" s="10"/>
      <c r="E82" s="1" t="str">
        <f t="shared" ca="1" si="2"/>
        <v/>
      </c>
    </row>
    <row r="83" spans="4:5" x14ac:dyDescent="0.25">
      <c r="D83" s="10"/>
      <c r="E83" s="1" t="str">
        <f t="shared" ca="1" si="2"/>
        <v/>
      </c>
    </row>
    <row r="84" spans="4:5" x14ac:dyDescent="0.25">
      <c r="D84" s="10"/>
      <c r="E84" s="1" t="str">
        <f t="shared" ca="1" si="2"/>
        <v/>
      </c>
    </row>
    <row r="85" spans="4:5" x14ac:dyDescent="0.25">
      <c r="D85" s="10"/>
      <c r="E85" s="1" t="str">
        <f t="shared" ca="1" si="2"/>
        <v/>
      </c>
    </row>
    <row r="86" spans="4:5" x14ac:dyDescent="0.25">
      <c r="D86" s="10"/>
      <c r="E86" s="1" t="str">
        <f t="shared" ca="1" si="2"/>
        <v/>
      </c>
    </row>
    <row r="87" spans="4:5" x14ac:dyDescent="0.25">
      <c r="D87" s="10"/>
      <c r="E87" s="1" t="str">
        <f t="shared" ca="1" si="2"/>
        <v/>
      </c>
    </row>
    <row r="88" spans="4:5" x14ac:dyDescent="0.25">
      <c r="D88" s="10"/>
      <c r="E88" s="1" t="str">
        <f t="shared" ca="1" si="2"/>
        <v/>
      </c>
    </row>
    <row r="89" spans="4:5" x14ac:dyDescent="0.25">
      <c r="D89" s="10"/>
      <c r="E89" s="1" t="str">
        <f t="shared" ca="1" si="2"/>
        <v/>
      </c>
    </row>
    <row r="90" spans="4:5" x14ac:dyDescent="0.25">
      <c r="D90" s="10"/>
      <c r="E90" s="1" t="str">
        <f t="shared" ca="1" si="2"/>
        <v/>
      </c>
    </row>
    <row r="91" spans="4:5" x14ac:dyDescent="0.25">
      <c r="D91" s="10"/>
      <c r="E91" s="1" t="str">
        <f t="shared" ca="1" si="2"/>
        <v/>
      </c>
    </row>
    <row r="92" spans="4:5" x14ac:dyDescent="0.25">
      <c r="D92" s="10"/>
      <c r="E92" s="1" t="str">
        <f t="shared" ca="1" si="2"/>
        <v/>
      </c>
    </row>
    <row r="93" spans="4:5" x14ac:dyDescent="0.25">
      <c r="D93" s="10"/>
      <c r="E93" s="1" t="str">
        <f t="shared" ca="1" si="2"/>
        <v/>
      </c>
    </row>
    <row r="94" spans="4:5" x14ac:dyDescent="0.25">
      <c r="D94" s="10"/>
      <c r="E94" s="1" t="str">
        <f t="shared" ca="1" si="2"/>
        <v/>
      </c>
    </row>
    <row r="95" spans="4:5" x14ac:dyDescent="0.25">
      <c r="D95" s="10"/>
      <c r="E95" s="1" t="str">
        <f t="shared" ca="1" si="2"/>
        <v/>
      </c>
    </row>
    <row r="96" spans="4:5" x14ac:dyDescent="0.25">
      <c r="D96" s="10"/>
      <c r="E96" s="1" t="str">
        <f t="shared" ca="1" si="2"/>
        <v/>
      </c>
    </row>
    <row r="97" spans="4:5" x14ac:dyDescent="0.25">
      <c r="D97" s="10"/>
      <c r="E97" s="1" t="str">
        <f t="shared" ca="1" si="2"/>
        <v/>
      </c>
    </row>
    <row r="98" spans="4:5" x14ac:dyDescent="0.25">
      <c r="D98" s="10"/>
      <c r="E98" s="1" t="str">
        <f t="shared" ca="1" si="2"/>
        <v/>
      </c>
    </row>
    <row r="99" spans="4:5" x14ac:dyDescent="0.25">
      <c r="D99" s="10"/>
      <c r="E99" s="1" t="str">
        <f t="shared" ref="E99:E130" ca="1" si="3">IFERROR(IF(A99="","",IF(C99="","DIGITE DATA DE VENCIMENTO",IF(C99&lt;TODAY(),"VENCIDO",IF(C99=TODAY(),"ULTIMO DIA",IF(C99&gt;TODAY(),_xlfn.DAYS(C99,TODAY())&amp;" Dia(s) Restante"))))),"")</f>
        <v/>
      </c>
    </row>
    <row r="100" spans="4:5" x14ac:dyDescent="0.25">
      <c r="D100" s="10"/>
      <c r="E100" s="1" t="str">
        <f t="shared" ca="1" si="3"/>
        <v/>
      </c>
    </row>
    <row r="101" spans="4:5" x14ac:dyDescent="0.25">
      <c r="D101" s="10"/>
      <c r="E101" s="1" t="str">
        <f t="shared" ca="1" si="3"/>
        <v/>
      </c>
    </row>
    <row r="102" spans="4:5" x14ac:dyDescent="0.25">
      <c r="D102" s="10"/>
      <c r="E102" s="1" t="str">
        <f t="shared" ca="1" si="3"/>
        <v/>
      </c>
    </row>
    <row r="103" spans="4:5" x14ac:dyDescent="0.25">
      <c r="D103" s="10"/>
      <c r="E103" s="1" t="str">
        <f t="shared" ca="1" si="3"/>
        <v/>
      </c>
    </row>
    <row r="104" spans="4:5" x14ac:dyDescent="0.25">
      <c r="D104" s="10"/>
      <c r="E104" s="1" t="str">
        <f t="shared" ca="1" si="3"/>
        <v/>
      </c>
    </row>
    <row r="105" spans="4:5" x14ac:dyDescent="0.25">
      <c r="D105" s="10"/>
      <c r="E105" s="1" t="str">
        <f t="shared" ca="1" si="3"/>
        <v/>
      </c>
    </row>
    <row r="106" spans="4:5" x14ac:dyDescent="0.25">
      <c r="D106" s="10"/>
      <c r="E106" s="1" t="str">
        <f t="shared" ca="1" si="3"/>
        <v/>
      </c>
    </row>
    <row r="107" spans="4:5" x14ac:dyDescent="0.25">
      <c r="D107" s="10"/>
      <c r="E107" s="1" t="str">
        <f t="shared" ca="1" si="3"/>
        <v/>
      </c>
    </row>
    <row r="108" spans="4:5" x14ac:dyDescent="0.25">
      <c r="D108" s="10"/>
      <c r="E108" s="1" t="str">
        <f t="shared" ca="1" si="3"/>
        <v/>
      </c>
    </row>
    <row r="109" spans="4:5" x14ac:dyDescent="0.25">
      <c r="D109" s="10"/>
      <c r="E109" s="1" t="str">
        <f t="shared" ca="1" si="3"/>
        <v/>
      </c>
    </row>
    <row r="110" spans="4:5" x14ac:dyDescent="0.25">
      <c r="D110" s="10"/>
      <c r="E110" s="1" t="str">
        <f t="shared" ca="1" si="3"/>
        <v/>
      </c>
    </row>
    <row r="111" spans="4:5" x14ac:dyDescent="0.25">
      <c r="D111" s="10"/>
      <c r="E111" s="1" t="str">
        <f t="shared" ca="1" si="3"/>
        <v/>
      </c>
    </row>
    <row r="112" spans="4:5" x14ac:dyDescent="0.25">
      <c r="D112" s="10"/>
      <c r="E112" s="1" t="str">
        <f t="shared" ca="1" si="3"/>
        <v/>
      </c>
    </row>
    <row r="113" spans="4:5" x14ac:dyDescent="0.25">
      <c r="D113" s="10"/>
      <c r="E113" s="1" t="str">
        <f t="shared" ca="1" si="3"/>
        <v/>
      </c>
    </row>
    <row r="114" spans="4:5" x14ac:dyDescent="0.25">
      <c r="D114" s="10"/>
      <c r="E114" s="1" t="str">
        <f t="shared" ca="1" si="3"/>
        <v/>
      </c>
    </row>
    <row r="115" spans="4:5" x14ac:dyDescent="0.25">
      <c r="D115" s="10"/>
      <c r="E115" s="1" t="str">
        <f t="shared" ca="1" si="3"/>
        <v/>
      </c>
    </row>
    <row r="116" spans="4:5" x14ac:dyDescent="0.25">
      <c r="D116" s="10"/>
      <c r="E116" s="1" t="str">
        <f t="shared" ca="1" si="3"/>
        <v/>
      </c>
    </row>
    <row r="117" spans="4:5" x14ac:dyDescent="0.25">
      <c r="D117" s="10"/>
      <c r="E117" s="1" t="str">
        <f t="shared" ca="1" si="3"/>
        <v/>
      </c>
    </row>
    <row r="118" spans="4:5" x14ac:dyDescent="0.25">
      <c r="D118" s="10"/>
      <c r="E118" s="1" t="str">
        <f t="shared" ca="1" si="3"/>
        <v/>
      </c>
    </row>
    <row r="119" spans="4:5" x14ac:dyDescent="0.25">
      <c r="D119" s="10"/>
      <c r="E119" s="1" t="str">
        <f t="shared" ca="1" si="3"/>
        <v/>
      </c>
    </row>
    <row r="120" spans="4:5" x14ac:dyDescent="0.25">
      <c r="D120" s="10"/>
      <c r="E120" s="1" t="str">
        <f t="shared" ca="1" si="3"/>
        <v/>
      </c>
    </row>
    <row r="121" spans="4:5" x14ac:dyDescent="0.25">
      <c r="D121" s="10"/>
      <c r="E121" s="1" t="str">
        <f t="shared" ca="1" si="3"/>
        <v/>
      </c>
    </row>
    <row r="122" spans="4:5" x14ac:dyDescent="0.25">
      <c r="D122" s="10"/>
      <c r="E122" s="1" t="str">
        <f t="shared" ca="1" si="3"/>
        <v/>
      </c>
    </row>
    <row r="123" spans="4:5" x14ac:dyDescent="0.25">
      <c r="D123" s="10"/>
      <c r="E123" s="1" t="str">
        <f t="shared" ca="1" si="3"/>
        <v/>
      </c>
    </row>
    <row r="124" spans="4:5" x14ac:dyDescent="0.25">
      <c r="D124" s="10"/>
      <c r="E124" s="1" t="str">
        <f t="shared" ca="1" si="3"/>
        <v/>
      </c>
    </row>
    <row r="125" spans="4:5" x14ac:dyDescent="0.25">
      <c r="D125" s="10"/>
      <c r="E125" s="1" t="str">
        <f t="shared" ca="1" si="3"/>
        <v/>
      </c>
    </row>
    <row r="126" spans="4:5" x14ac:dyDescent="0.25">
      <c r="D126" s="10"/>
      <c r="E126" s="1" t="str">
        <f t="shared" ca="1" si="3"/>
        <v/>
      </c>
    </row>
    <row r="127" spans="4:5" x14ac:dyDescent="0.25">
      <c r="D127" s="10"/>
      <c r="E127" s="1" t="str">
        <f t="shared" ca="1" si="3"/>
        <v/>
      </c>
    </row>
    <row r="128" spans="4:5" x14ac:dyDescent="0.25">
      <c r="D128" s="10"/>
      <c r="E128" s="1" t="str">
        <f t="shared" ca="1" si="3"/>
        <v/>
      </c>
    </row>
    <row r="129" spans="4:5" x14ac:dyDescent="0.25">
      <c r="D129" s="10"/>
      <c r="E129" s="1" t="str">
        <f t="shared" ca="1" si="3"/>
        <v/>
      </c>
    </row>
    <row r="130" spans="4:5" x14ac:dyDescent="0.25">
      <c r="D130" s="10"/>
      <c r="E130" s="1" t="str">
        <f t="shared" ca="1" si="3"/>
        <v/>
      </c>
    </row>
    <row r="131" spans="4:5" x14ac:dyDescent="0.25">
      <c r="D131" s="10"/>
      <c r="E131" s="1" t="str">
        <f t="shared" ref="E131:E162" ca="1" si="4">IFERROR(IF(A131="","",IF(C131="","DIGITE DATA DE VENCIMENTO",IF(C131&lt;TODAY(),"VENCIDO",IF(C131=TODAY(),"ULTIMO DIA",IF(C131&gt;TODAY(),_xlfn.DAYS(C131,TODAY())&amp;" Dia(s) Restante"))))),"")</f>
        <v/>
      </c>
    </row>
    <row r="132" spans="4:5" x14ac:dyDescent="0.25">
      <c r="D132" s="10"/>
      <c r="E132" s="1" t="str">
        <f t="shared" ca="1" si="4"/>
        <v/>
      </c>
    </row>
    <row r="133" spans="4:5" x14ac:dyDescent="0.25">
      <c r="D133" s="10"/>
      <c r="E133" s="1" t="str">
        <f t="shared" ca="1" si="4"/>
        <v/>
      </c>
    </row>
    <row r="134" spans="4:5" x14ac:dyDescent="0.25">
      <c r="D134" s="10"/>
      <c r="E134" s="1" t="str">
        <f t="shared" ca="1" si="4"/>
        <v/>
      </c>
    </row>
    <row r="135" spans="4:5" x14ac:dyDescent="0.25">
      <c r="D135" s="10"/>
      <c r="E135" s="1" t="str">
        <f t="shared" ca="1" si="4"/>
        <v/>
      </c>
    </row>
    <row r="136" spans="4:5" x14ac:dyDescent="0.25">
      <c r="D136" s="10"/>
      <c r="E136" s="1" t="str">
        <f t="shared" ca="1" si="4"/>
        <v/>
      </c>
    </row>
    <row r="137" spans="4:5" x14ac:dyDescent="0.25">
      <c r="D137" s="10"/>
      <c r="E137" s="1" t="str">
        <f t="shared" ca="1" si="4"/>
        <v/>
      </c>
    </row>
    <row r="138" spans="4:5" x14ac:dyDescent="0.25">
      <c r="D138" s="10"/>
      <c r="E138" s="1" t="str">
        <f t="shared" ca="1" si="4"/>
        <v/>
      </c>
    </row>
    <row r="139" spans="4:5" x14ac:dyDescent="0.25">
      <c r="D139" s="10"/>
      <c r="E139" s="1" t="str">
        <f t="shared" ca="1" si="4"/>
        <v/>
      </c>
    </row>
    <row r="140" spans="4:5" x14ac:dyDescent="0.25">
      <c r="D140" s="10"/>
      <c r="E140" s="1" t="str">
        <f t="shared" ca="1" si="4"/>
        <v/>
      </c>
    </row>
    <row r="141" spans="4:5" x14ac:dyDescent="0.25">
      <c r="D141" s="10"/>
      <c r="E141" s="1" t="str">
        <f t="shared" ca="1" si="4"/>
        <v/>
      </c>
    </row>
    <row r="142" spans="4:5" x14ac:dyDescent="0.25">
      <c r="D142" s="10"/>
      <c r="E142" s="1" t="str">
        <f t="shared" ca="1" si="4"/>
        <v/>
      </c>
    </row>
    <row r="143" spans="4:5" x14ac:dyDescent="0.25">
      <c r="D143" s="10"/>
      <c r="E143" s="1" t="str">
        <f t="shared" ca="1" si="4"/>
        <v/>
      </c>
    </row>
    <row r="144" spans="4:5" x14ac:dyDescent="0.25">
      <c r="D144" s="10"/>
      <c r="E144" s="1" t="str">
        <f t="shared" ca="1" si="4"/>
        <v/>
      </c>
    </row>
    <row r="145" spans="4:5" x14ac:dyDescent="0.25">
      <c r="D145" s="10"/>
      <c r="E145" s="1" t="str">
        <f t="shared" ca="1" si="4"/>
        <v/>
      </c>
    </row>
    <row r="146" spans="4:5" x14ac:dyDescent="0.25">
      <c r="D146" s="10"/>
      <c r="E146" s="1" t="str">
        <f t="shared" ca="1" si="4"/>
        <v/>
      </c>
    </row>
    <row r="147" spans="4:5" x14ac:dyDescent="0.25">
      <c r="D147" s="10"/>
      <c r="E147" s="1" t="str">
        <f t="shared" ca="1" si="4"/>
        <v/>
      </c>
    </row>
    <row r="148" spans="4:5" x14ac:dyDescent="0.25">
      <c r="D148" s="10"/>
      <c r="E148" s="1" t="str">
        <f t="shared" ca="1" si="4"/>
        <v/>
      </c>
    </row>
    <row r="149" spans="4:5" x14ac:dyDescent="0.25">
      <c r="D149" s="10"/>
      <c r="E149" s="1" t="str">
        <f t="shared" ca="1" si="4"/>
        <v/>
      </c>
    </row>
    <row r="150" spans="4:5" x14ac:dyDescent="0.25">
      <c r="D150" s="10"/>
      <c r="E150" s="1" t="str">
        <f t="shared" ca="1" si="4"/>
        <v/>
      </c>
    </row>
    <row r="151" spans="4:5" x14ac:dyDescent="0.25">
      <c r="D151" s="10"/>
      <c r="E151" s="1" t="str">
        <f t="shared" ca="1" si="4"/>
        <v/>
      </c>
    </row>
    <row r="152" spans="4:5" x14ac:dyDescent="0.25">
      <c r="D152" s="10"/>
      <c r="E152" s="1" t="str">
        <f t="shared" ca="1" si="4"/>
        <v/>
      </c>
    </row>
    <row r="153" spans="4:5" x14ac:dyDescent="0.25">
      <c r="D153" s="10"/>
      <c r="E153" s="1" t="str">
        <f t="shared" ca="1" si="4"/>
        <v/>
      </c>
    </row>
    <row r="154" spans="4:5" x14ac:dyDescent="0.25">
      <c r="D154" s="10"/>
      <c r="E154" s="1" t="str">
        <f t="shared" ca="1" si="4"/>
        <v/>
      </c>
    </row>
    <row r="155" spans="4:5" x14ac:dyDescent="0.25">
      <c r="D155" s="10"/>
      <c r="E155" s="1" t="str">
        <f t="shared" ca="1" si="4"/>
        <v/>
      </c>
    </row>
    <row r="156" spans="4:5" x14ac:dyDescent="0.25">
      <c r="D156" s="10"/>
      <c r="E156" s="1" t="str">
        <f t="shared" ca="1" si="4"/>
        <v/>
      </c>
    </row>
    <row r="157" spans="4:5" x14ac:dyDescent="0.25">
      <c r="D157" s="10"/>
      <c r="E157" s="1" t="str">
        <f t="shared" ca="1" si="4"/>
        <v/>
      </c>
    </row>
    <row r="158" spans="4:5" x14ac:dyDescent="0.25">
      <c r="D158" s="10"/>
      <c r="E158" s="1" t="str">
        <f t="shared" ca="1" si="4"/>
        <v/>
      </c>
    </row>
    <row r="159" spans="4:5" x14ac:dyDescent="0.25">
      <c r="D159" s="10"/>
      <c r="E159" s="1" t="str">
        <f t="shared" ca="1" si="4"/>
        <v/>
      </c>
    </row>
    <row r="160" spans="4:5" x14ac:dyDescent="0.25">
      <c r="D160" s="10"/>
      <c r="E160" s="1" t="str">
        <f t="shared" ca="1" si="4"/>
        <v/>
      </c>
    </row>
    <row r="161" spans="4:5" x14ac:dyDescent="0.25">
      <c r="D161" s="10"/>
      <c r="E161" s="1" t="str">
        <f t="shared" ca="1" si="4"/>
        <v/>
      </c>
    </row>
    <row r="162" spans="4:5" x14ac:dyDescent="0.25">
      <c r="D162" s="10"/>
      <c r="E162" s="1" t="str">
        <f t="shared" ca="1" si="4"/>
        <v/>
      </c>
    </row>
    <row r="163" spans="4:5" x14ac:dyDescent="0.25">
      <c r="D163" s="10"/>
      <c r="E163" s="1" t="str">
        <f t="shared" ref="E163:E194" ca="1" si="5">IFERROR(IF(A163="","",IF(C163="","DIGITE DATA DE VENCIMENTO",IF(C163&lt;TODAY(),"VENCIDO",IF(C163=TODAY(),"ULTIMO DIA",IF(C163&gt;TODAY(),_xlfn.DAYS(C163,TODAY())&amp;" Dia(s) Restante"))))),"")</f>
        <v/>
      </c>
    </row>
    <row r="164" spans="4:5" x14ac:dyDescent="0.25">
      <c r="D164" s="10"/>
      <c r="E164" s="1" t="str">
        <f t="shared" ca="1" si="5"/>
        <v/>
      </c>
    </row>
    <row r="165" spans="4:5" x14ac:dyDescent="0.25">
      <c r="D165" s="10"/>
      <c r="E165" s="1" t="str">
        <f t="shared" ca="1" si="5"/>
        <v/>
      </c>
    </row>
    <row r="166" spans="4:5" x14ac:dyDescent="0.25">
      <c r="D166" s="10"/>
      <c r="E166" s="1" t="str">
        <f t="shared" ca="1" si="5"/>
        <v/>
      </c>
    </row>
    <row r="167" spans="4:5" x14ac:dyDescent="0.25">
      <c r="D167" s="10"/>
      <c r="E167" s="1" t="str">
        <f t="shared" ca="1" si="5"/>
        <v/>
      </c>
    </row>
    <row r="168" spans="4:5" x14ac:dyDescent="0.25">
      <c r="D168" s="10"/>
      <c r="E168" s="1" t="str">
        <f t="shared" ca="1" si="5"/>
        <v/>
      </c>
    </row>
    <row r="169" spans="4:5" x14ac:dyDescent="0.25">
      <c r="D169" s="10"/>
      <c r="E169" s="1" t="str">
        <f t="shared" ca="1" si="5"/>
        <v/>
      </c>
    </row>
    <row r="170" spans="4:5" x14ac:dyDescent="0.25">
      <c r="D170" s="10"/>
      <c r="E170" s="1" t="str">
        <f t="shared" ca="1" si="5"/>
        <v/>
      </c>
    </row>
    <row r="171" spans="4:5" x14ac:dyDescent="0.25">
      <c r="D171" s="10"/>
      <c r="E171" s="1" t="str">
        <f t="shared" ca="1" si="5"/>
        <v/>
      </c>
    </row>
    <row r="172" spans="4:5" x14ac:dyDescent="0.25">
      <c r="D172" s="10"/>
      <c r="E172" s="1" t="str">
        <f t="shared" ca="1" si="5"/>
        <v/>
      </c>
    </row>
    <row r="173" spans="4:5" x14ac:dyDescent="0.25">
      <c r="D173" s="10"/>
      <c r="E173" s="1" t="str">
        <f t="shared" ca="1" si="5"/>
        <v/>
      </c>
    </row>
    <row r="174" spans="4:5" x14ac:dyDescent="0.25">
      <c r="D174" s="10"/>
      <c r="E174" s="1" t="str">
        <f t="shared" ca="1" si="5"/>
        <v/>
      </c>
    </row>
    <row r="175" spans="4:5" x14ac:dyDescent="0.25">
      <c r="D175" s="10"/>
      <c r="E175" s="1" t="str">
        <f t="shared" ca="1" si="5"/>
        <v/>
      </c>
    </row>
    <row r="176" spans="4:5" x14ac:dyDescent="0.25">
      <c r="D176" s="10"/>
      <c r="E176" s="1" t="str">
        <f t="shared" ca="1" si="5"/>
        <v/>
      </c>
    </row>
    <row r="177" spans="4:5" x14ac:dyDescent="0.25">
      <c r="D177" s="10"/>
      <c r="E177" s="1" t="str">
        <f t="shared" ca="1" si="5"/>
        <v/>
      </c>
    </row>
    <row r="178" spans="4:5" x14ac:dyDescent="0.25">
      <c r="D178" s="10"/>
      <c r="E178" s="1" t="str">
        <f t="shared" ca="1" si="5"/>
        <v/>
      </c>
    </row>
    <row r="179" spans="4:5" x14ac:dyDescent="0.25">
      <c r="D179" s="10"/>
      <c r="E179" s="1" t="str">
        <f t="shared" ca="1" si="5"/>
        <v/>
      </c>
    </row>
    <row r="180" spans="4:5" x14ac:dyDescent="0.25">
      <c r="D180" s="10"/>
      <c r="E180" s="1" t="str">
        <f t="shared" ca="1" si="5"/>
        <v/>
      </c>
    </row>
    <row r="181" spans="4:5" x14ac:dyDescent="0.25">
      <c r="D181" s="10"/>
      <c r="E181" s="1" t="str">
        <f t="shared" ca="1" si="5"/>
        <v/>
      </c>
    </row>
    <row r="182" spans="4:5" x14ac:dyDescent="0.25">
      <c r="D182" s="10"/>
      <c r="E182" s="1" t="str">
        <f t="shared" ca="1" si="5"/>
        <v/>
      </c>
    </row>
    <row r="183" spans="4:5" x14ac:dyDescent="0.25">
      <c r="D183" s="10"/>
      <c r="E183" s="1" t="str">
        <f t="shared" ca="1" si="5"/>
        <v/>
      </c>
    </row>
    <row r="184" spans="4:5" x14ac:dyDescent="0.25">
      <c r="D184" s="10"/>
      <c r="E184" s="1" t="str">
        <f t="shared" ca="1" si="5"/>
        <v/>
      </c>
    </row>
    <row r="185" spans="4:5" x14ac:dyDescent="0.25">
      <c r="D185" s="10"/>
      <c r="E185" s="1" t="str">
        <f t="shared" ca="1" si="5"/>
        <v/>
      </c>
    </row>
    <row r="186" spans="4:5" x14ac:dyDescent="0.25">
      <c r="D186" s="10"/>
      <c r="E186" s="1" t="str">
        <f t="shared" ca="1" si="5"/>
        <v/>
      </c>
    </row>
    <row r="187" spans="4:5" x14ac:dyDescent="0.25">
      <c r="D187" s="10"/>
      <c r="E187" s="1" t="str">
        <f t="shared" ca="1" si="5"/>
        <v/>
      </c>
    </row>
    <row r="188" spans="4:5" x14ac:dyDescent="0.25">
      <c r="D188" s="10"/>
      <c r="E188" s="1" t="str">
        <f t="shared" ca="1" si="5"/>
        <v/>
      </c>
    </row>
    <row r="189" spans="4:5" x14ac:dyDescent="0.25">
      <c r="D189" s="10"/>
      <c r="E189" s="1" t="str">
        <f t="shared" ca="1" si="5"/>
        <v/>
      </c>
    </row>
    <row r="190" spans="4:5" x14ac:dyDescent="0.25">
      <c r="D190" s="10"/>
      <c r="E190" s="1" t="str">
        <f t="shared" ca="1" si="5"/>
        <v/>
      </c>
    </row>
    <row r="191" spans="4:5" x14ac:dyDescent="0.25">
      <c r="D191" s="10"/>
      <c r="E191" s="1" t="str">
        <f t="shared" ca="1" si="5"/>
        <v/>
      </c>
    </row>
    <row r="192" spans="4:5" x14ac:dyDescent="0.25">
      <c r="D192" s="10"/>
      <c r="E192" s="1" t="str">
        <f t="shared" ca="1" si="5"/>
        <v/>
      </c>
    </row>
    <row r="193" spans="4:5" x14ac:dyDescent="0.25">
      <c r="D193" s="10"/>
      <c r="E193" s="1" t="str">
        <f t="shared" ca="1" si="5"/>
        <v/>
      </c>
    </row>
    <row r="194" spans="4:5" x14ac:dyDescent="0.25">
      <c r="D194" s="10"/>
      <c r="E194" s="1" t="str">
        <f t="shared" ca="1" si="5"/>
        <v/>
      </c>
    </row>
    <row r="195" spans="4:5" x14ac:dyDescent="0.25">
      <c r="D195" s="10"/>
      <c r="E195" s="1" t="str">
        <f t="shared" ref="E195:E200" ca="1" si="6">IFERROR(IF(A195="","",IF(C195="","DIGITE DATA DE VENCIMENTO",IF(C195&lt;TODAY(),"VENCIDO",IF(C195=TODAY(),"ULTIMO DIA",IF(C195&gt;TODAY(),_xlfn.DAYS(C195,TODAY())&amp;" Dia(s) Restante"))))),"")</f>
        <v/>
      </c>
    </row>
    <row r="196" spans="4:5" x14ac:dyDescent="0.25">
      <c r="D196" s="10"/>
      <c r="E196" s="1" t="str">
        <f t="shared" ca="1" si="6"/>
        <v/>
      </c>
    </row>
    <row r="197" spans="4:5" x14ac:dyDescent="0.25">
      <c r="D197" s="10"/>
      <c r="E197" s="1" t="str">
        <f t="shared" ca="1" si="6"/>
        <v/>
      </c>
    </row>
    <row r="198" spans="4:5" x14ac:dyDescent="0.25">
      <c r="D198" s="10"/>
      <c r="E198" s="1" t="str">
        <f t="shared" ca="1" si="6"/>
        <v/>
      </c>
    </row>
    <row r="199" spans="4:5" x14ac:dyDescent="0.25">
      <c r="D199" s="10"/>
      <c r="E199" s="1" t="str">
        <f t="shared" ca="1" si="6"/>
        <v/>
      </c>
    </row>
    <row r="200" spans="4:5" x14ac:dyDescent="0.25">
      <c r="D200" s="10"/>
      <c r="E200" s="1" t="str">
        <f t="shared" ca="1" si="6"/>
        <v/>
      </c>
    </row>
  </sheetData>
  <sheetProtection sheet="1" formatCells="0" formatColumns="0" formatRows="0" insertColumns="0" insertRows="0" insertHyperlinks="0" deleteColumns="0" deleteRows="0" sort="0" autoFilter="0" pivotTables="0"/>
  <conditionalFormatting sqref="E3:E200">
    <cfRule type="cellIs" dxfId="1545" priority="1" operator="equal">
      <formula>"VENCIDO"</formula>
    </cfRule>
    <cfRule type="cellIs" dxfId="1544" priority="2" operator="equal">
      <formula>"3 Dia(s) Restante"</formula>
    </cfRule>
    <cfRule type="cellIs" dxfId="1543" priority="3" operator="equal">
      <formula>"2 Dia(s) Restante"</formula>
    </cfRule>
    <cfRule type="cellIs" dxfId="1542" priority="4" operator="equal">
      <formula>"1 Dia(s) Restante"</formula>
    </cfRule>
    <cfRule type="containsText" dxfId="1541" priority="5" operator="containsText" text="ULTIMO DIA">
      <formula>NOT(ISERROR(SEARCH("ULTIMO DIA",E3)))</formula>
    </cfRule>
  </conditionalFormatting>
  <dataValidations count="1">
    <dataValidation type="list" allowBlank="1" showInputMessage="1" showErrorMessage="1" sqref="B3:B200" xr:uid="{56FB1776-4D71-436D-AAEC-BE979E0D0098}">
      <formula1>INDIRECT($A3)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ÃO CADASTRADO" error="POR FAVOR CADASTRAR O TIPO NA GUIA CADASTRO." xr:uid="{72774D0E-70A1-4825-A9DA-612FC5355572}">
          <x14:formula1>
            <xm:f>CADASTRO!$G$5:$G$7</xm:f>
          </x14:formula1>
          <xm:sqref>A3:A200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55DF-01E2-4E97-8828-4BEEA4F303BF}">
  <dimension ref="A1:S29"/>
  <sheetViews>
    <sheetView showGridLines="0" workbookViewId="0">
      <selection activeCell="D10" sqref="D10"/>
    </sheetView>
  </sheetViews>
  <sheetFormatPr defaultRowHeight="15" x14ac:dyDescent="0.25"/>
  <cols>
    <col min="1" max="1" width="27.85546875" style="2" bestFit="1" customWidth="1"/>
    <col min="2" max="2" width="19.28515625" style="2" customWidth="1"/>
    <col min="3" max="3" width="28.7109375" style="10" bestFit="1" customWidth="1"/>
    <col min="4" max="4" width="21" style="28" bestFit="1" customWidth="1"/>
    <col min="5" max="5" width="17.7109375" hidden="1" customWidth="1"/>
    <col min="6" max="6" width="10.42578125" hidden="1" customWidth="1"/>
    <col min="7" max="7" width="6.42578125" hidden="1" customWidth="1"/>
    <col min="8" max="8" width="10.140625" hidden="1" customWidth="1"/>
    <col min="9" max="9" width="7.42578125" hidden="1" customWidth="1"/>
    <col min="10" max="10" width="10.42578125" hidden="1" customWidth="1"/>
    <col min="11" max="11" width="11.5703125" hidden="1" customWidth="1"/>
    <col min="12" max="12" width="22.28515625" style="50" bestFit="1" customWidth="1"/>
    <col min="15" max="15" width="15.42578125" style="2" bestFit="1" customWidth="1"/>
    <col min="16" max="16" width="17.7109375" style="2" bestFit="1" customWidth="1"/>
    <col min="17" max="17" width="9" customWidth="1"/>
    <col min="18" max="18" width="11.5703125" hidden="1" customWidth="1"/>
    <col min="19" max="19" width="3" hidden="1" customWidth="1"/>
  </cols>
  <sheetData>
    <row r="1" spans="1:19" x14ac:dyDescent="0.25">
      <c r="B1" s="11"/>
      <c r="C1" s="27"/>
      <c r="D1" s="12"/>
      <c r="E1" s="12"/>
      <c r="F1" s="12"/>
      <c r="G1" s="12"/>
      <c r="H1" s="12"/>
      <c r="I1" s="12"/>
      <c r="J1" s="12"/>
      <c r="K1" s="12"/>
      <c r="L1" s="49"/>
      <c r="R1" s="28">
        <f ca="1">TODAY()</f>
        <v>46318</v>
      </c>
    </row>
    <row r="2" spans="1:19" ht="15.75" thickBot="1" x14ac:dyDescent="0.3">
      <c r="B2" s="11"/>
      <c r="C2" s="27"/>
      <c r="D2" s="12"/>
      <c r="E2" s="12"/>
      <c r="F2" s="12"/>
      <c r="G2" s="12"/>
      <c r="H2" s="12"/>
      <c r="I2" s="12"/>
      <c r="J2" s="12"/>
      <c r="K2" s="12"/>
      <c r="L2" s="49"/>
    </row>
    <row r="3" spans="1:19" ht="15.75" thickBot="1" x14ac:dyDescent="0.3">
      <c r="A3" s="58" t="s">
        <v>110</v>
      </c>
      <c r="B3" s="4" t="s">
        <v>89</v>
      </c>
      <c r="C3" s="5" t="s">
        <v>100</v>
      </c>
      <c r="D3" t="s">
        <v>101</v>
      </c>
      <c r="E3" t="s">
        <v>87</v>
      </c>
      <c r="F3" t="s">
        <v>71</v>
      </c>
      <c r="G3" t="s">
        <v>102</v>
      </c>
      <c r="H3" t="s">
        <v>103</v>
      </c>
      <c r="I3" t="s">
        <v>104</v>
      </c>
      <c r="J3" t="s">
        <v>105</v>
      </c>
      <c r="K3" s="50" t="s">
        <v>106</v>
      </c>
      <c r="L3" s="50" t="s">
        <v>108</v>
      </c>
      <c r="O3" s="78" t="s">
        <v>72</v>
      </c>
      <c r="P3" s="79"/>
      <c r="R3" s="13" t="s">
        <v>90</v>
      </c>
      <c r="S3" s="13">
        <v>1</v>
      </c>
    </row>
    <row r="4" spans="1:19" ht="15.75" thickTop="1" x14ac:dyDescent="0.25">
      <c r="A4" s="59" t="s">
        <v>62</v>
      </c>
      <c r="B4" s="2" t="s">
        <v>107</v>
      </c>
      <c r="C4" s="10">
        <v>45734</v>
      </c>
      <c r="D4" s="28">
        <f>IFERROR(IF(Tabela15[[#This Row],[DATA DE LICENCIAMENTO]]="","",DATE($K4,$J4,$G4)),"")</f>
        <v>46313</v>
      </c>
      <c r="E4" t="str">
        <f>RIGHT(B4,1)</f>
        <v>3</v>
      </c>
      <c r="F4">
        <f>VALUE(E4)</f>
        <v>3</v>
      </c>
      <c r="G4" s="30">
        <f>DAY(C4)</f>
        <v>18</v>
      </c>
      <c r="H4" t="str">
        <f t="shared" ref="H4:H13" si="0">VLOOKUP(F4,$O$4:$P$13,2,FALSE)</f>
        <v>outubro</v>
      </c>
      <c r="I4">
        <f>VALUE(K4)</f>
        <v>2026</v>
      </c>
      <c r="J4">
        <f t="shared" ref="J4:J13" si="1">IFERROR(VLOOKUP(H4,$R$3:$S$14,2,FALSE),"")</f>
        <v>10</v>
      </c>
      <c r="K4" s="31">
        <f>YEAR(C4)+1</f>
        <v>2026</v>
      </c>
      <c r="L4" s="50" t="str">
        <f ca="1">IF(Tabela15[[#This Row],[DATA VENCIMENTO]]="","",IF(Tabela15[[#This Row],[DATA VENCIMENTO]]&lt;$R$1,"VENCIDO",IF(Tabela15[[#This Row],[DATA VENCIMENTO]]=$R$1,"ULTIMO DIA","DENTRO DO PRAZO")))</f>
        <v>VENCIDO</v>
      </c>
      <c r="O4" s="34">
        <v>1</v>
      </c>
      <c r="P4" s="35" t="s">
        <v>74</v>
      </c>
      <c r="R4" s="13" t="s">
        <v>92</v>
      </c>
      <c r="S4" s="13">
        <v>2</v>
      </c>
    </row>
    <row r="5" spans="1:19" x14ac:dyDescent="0.25">
      <c r="A5" s="60" t="s">
        <v>64</v>
      </c>
      <c r="B5" s="2" t="s">
        <v>91</v>
      </c>
      <c r="C5" s="10">
        <v>45945</v>
      </c>
      <c r="D5" s="28">
        <f>IFERROR(IF(Tabela15[[#This Row],[DATA DE LICENCIAMENTO]]="","",DATE($K5,$J5,$G5)),"")</f>
        <v>46280</v>
      </c>
      <c r="E5" t="str">
        <f t="shared" ref="E5:E13" si="2">RIGHT(B5,1)</f>
        <v>2</v>
      </c>
      <c r="F5">
        <f t="shared" ref="F5:F13" si="3">VALUE(E5)</f>
        <v>2</v>
      </c>
      <c r="G5" s="30">
        <f t="shared" ref="G5:G13" si="4">DAY(C5)</f>
        <v>15</v>
      </c>
      <c r="H5" t="str">
        <f t="shared" si="0"/>
        <v>setembro</v>
      </c>
      <c r="I5">
        <f t="shared" ref="I5:I13" si="5">VALUE(K5)</f>
        <v>2026</v>
      </c>
      <c r="J5">
        <f t="shared" si="1"/>
        <v>9</v>
      </c>
      <c r="K5" s="31">
        <f t="shared" ref="K5:K13" si="6">YEAR(C5)+1</f>
        <v>2026</v>
      </c>
      <c r="L5" s="50" t="str">
        <f ca="1">IF(Tabela15[[#This Row],[DATA VENCIMENTO]]="","",IF(Tabela15[[#This Row],[DATA VENCIMENTO]]&lt;$R$1,"VENCIDO",IF(Tabela15[[#This Row],[DATA VENCIMENTO]]=$R$1,"ULTIMO DIA","DENTRO DO PRAZO")))</f>
        <v>VENCIDO</v>
      </c>
      <c r="O5" s="36">
        <v>2</v>
      </c>
      <c r="P5" s="37" t="s">
        <v>74</v>
      </c>
      <c r="R5" s="13" t="s">
        <v>94</v>
      </c>
      <c r="S5" s="13">
        <v>3</v>
      </c>
    </row>
    <row r="6" spans="1:19" x14ac:dyDescent="0.25">
      <c r="A6" s="59" t="s">
        <v>65</v>
      </c>
      <c r="B6" s="2" t="s">
        <v>96</v>
      </c>
      <c r="C6" s="10">
        <v>45526</v>
      </c>
      <c r="D6" s="28">
        <f>IFERROR(IF(Tabela15[[#This Row],[DATA DE LICENCIAMENTO]]="","",DATE($K6,$J6,$G6)),"")</f>
        <v>45983</v>
      </c>
      <c r="E6" t="str">
        <f t="shared" si="2"/>
        <v>8</v>
      </c>
      <c r="F6">
        <f t="shared" si="3"/>
        <v>8</v>
      </c>
      <c r="G6" s="30">
        <f t="shared" si="4"/>
        <v>22</v>
      </c>
      <c r="H6" t="str">
        <f t="shared" si="0"/>
        <v>novembro</v>
      </c>
      <c r="I6">
        <f t="shared" si="5"/>
        <v>2025</v>
      </c>
      <c r="J6">
        <f t="shared" si="1"/>
        <v>11</v>
      </c>
      <c r="K6" s="31">
        <f t="shared" si="6"/>
        <v>2025</v>
      </c>
      <c r="L6" s="50" t="str">
        <f ca="1">IF(Tabela15[[#This Row],[DATA VENCIMENTO]]="","",IF(Tabela15[[#This Row],[DATA VENCIMENTO]]&lt;$R$1,"VENCIDO",IF(Tabela15[[#This Row],[DATA VENCIMENTO]]=$R$1,"ULTIMO DIA","DENTRO DO PRAZO")))</f>
        <v>VENCIDO</v>
      </c>
      <c r="O6" s="38">
        <v>3</v>
      </c>
      <c r="P6" s="39" t="s">
        <v>77</v>
      </c>
      <c r="R6" s="13" t="s">
        <v>75</v>
      </c>
      <c r="S6" s="13">
        <v>4</v>
      </c>
    </row>
    <row r="7" spans="1:19" x14ac:dyDescent="0.25">
      <c r="A7" s="60" t="s">
        <v>63</v>
      </c>
      <c r="B7" s="2" t="s">
        <v>97</v>
      </c>
      <c r="C7" s="10">
        <v>45310</v>
      </c>
      <c r="D7" s="28">
        <f>IFERROR(IF(Tabela15[[#This Row],[DATA DE LICENCIAMENTO]]="","",DATE($K7,$J7,$G7)),"")</f>
        <v>45919</v>
      </c>
      <c r="E7" t="str">
        <f t="shared" si="2"/>
        <v>2</v>
      </c>
      <c r="F7">
        <f t="shared" si="3"/>
        <v>2</v>
      </c>
      <c r="G7" s="30">
        <f t="shared" si="4"/>
        <v>19</v>
      </c>
      <c r="H7" t="str">
        <f t="shared" si="0"/>
        <v>setembro</v>
      </c>
      <c r="I7">
        <f t="shared" si="5"/>
        <v>2025</v>
      </c>
      <c r="J7">
        <f t="shared" si="1"/>
        <v>9</v>
      </c>
      <c r="K7" s="31">
        <f t="shared" si="6"/>
        <v>2025</v>
      </c>
      <c r="L7" s="50" t="str">
        <f ca="1">IF(Tabela15[[#This Row],[DATA VENCIMENTO]]="","",IF(Tabela15[[#This Row],[DATA VENCIMENTO]]&lt;$R$1,"VENCIDO",IF(Tabela15[[#This Row],[DATA VENCIMENTO]]=$R$1,"ULTIMO DIA","DENTRO DO PRAZO")))</f>
        <v>VENCIDO</v>
      </c>
      <c r="O7" s="36">
        <v>4</v>
      </c>
      <c r="P7" s="37" t="s">
        <v>77</v>
      </c>
      <c r="R7" s="13" t="s">
        <v>76</v>
      </c>
      <c r="S7" s="13">
        <v>5</v>
      </c>
    </row>
    <row r="8" spans="1:19" x14ac:dyDescent="0.25">
      <c r="A8" s="59" t="s">
        <v>66</v>
      </c>
      <c r="B8" s="2" t="s">
        <v>98</v>
      </c>
      <c r="C8" s="10">
        <v>45672</v>
      </c>
      <c r="D8" s="28">
        <f>IFERROR(IF(Tabela15[[#This Row],[DATA DE LICENCIAMENTO]]="","",DATE($K8,$J8,$G8)),"")</f>
        <v>46371</v>
      </c>
      <c r="E8" t="str">
        <f t="shared" si="2"/>
        <v>0</v>
      </c>
      <c r="F8">
        <f t="shared" si="3"/>
        <v>0</v>
      </c>
      <c r="G8" s="30">
        <f t="shared" si="4"/>
        <v>15</v>
      </c>
      <c r="H8" t="str">
        <f t="shared" si="0"/>
        <v>dezembro</v>
      </c>
      <c r="I8">
        <f t="shared" si="5"/>
        <v>2026</v>
      </c>
      <c r="J8">
        <f t="shared" si="1"/>
        <v>12</v>
      </c>
      <c r="K8" s="31">
        <f t="shared" si="6"/>
        <v>2026</v>
      </c>
      <c r="L8" s="50" t="str">
        <f ca="1">IF(Tabela15[[#This Row],[DATA VENCIMENTO]]="","",IF(Tabela15[[#This Row],[DATA VENCIMENTO]]&lt;$R$1,"VENCIDO",IF(Tabela15[[#This Row],[DATA VENCIMENTO]]=$R$1,"ULTIMO DIA","DENTRO DO PRAZO")))</f>
        <v>DENTRO DO PRAZO</v>
      </c>
      <c r="O8" s="38">
        <v>5</v>
      </c>
      <c r="P8" s="39" t="s">
        <v>77</v>
      </c>
      <c r="R8" s="13" t="s">
        <v>78</v>
      </c>
      <c r="S8" s="13">
        <v>6</v>
      </c>
    </row>
    <row r="9" spans="1:19" x14ac:dyDescent="0.25">
      <c r="A9" s="60" t="s">
        <v>67</v>
      </c>
      <c r="B9" s="2" t="s">
        <v>93</v>
      </c>
      <c r="C9" s="10">
        <v>45672</v>
      </c>
      <c r="D9" s="28">
        <f>IFERROR(IF(Tabela15[[#This Row],[DATA DE LICENCIAMENTO]]="","",DATE($K9,$J9,$G9)),"")</f>
        <v>46341</v>
      </c>
      <c r="E9" t="str">
        <f t="shared" si="2"/>
        <v>6</v>
      </c>
      <c r="F9">
        <f t="shared" si="3"/>
        <v>6</v>
      </c>
      <c r="G9" s="30">
        <f t="shared" si="4"/>
        <v>15</v>
      </c>
      <c r="H9" t="str">
        <f t="shared" si="0"/>
        <v>novembro</v>
      </c>
      <c r="I9">
        <f t="shared" si="5"/>
        <v>2026</v>
      </c>
      <c r="J9">
        <f t="shared" si="1"/>
        <v>11</v>
      </c>
      <c r="K9" s="31">
        <f t="shared" si="6"/>
        <v>2026</v>
      </c>
      <c r="L9" s="50" t="str">
        <f ca="1">IF(Tabela15[[#This Row],[DATA VENCIMENTO]]="","",IF(Tabela15[[#This Row],[DATA VENCIMENTO]]&lt;$R$1,"VENCIDO",IF(Tabela15[[#This Row],[DATA VENCIMENTO]]=$R$1,"ULTIMO DIA","DENTRO DO PRAZO")))</f>
        <v>DENTRO DO PRAZO</v>
      </c>
      <c r="O9" s="36">
        <v>6</v>
      </c>
      <c r="P9" s="37" t="s">
        <v>81</v>
      </c>
      <c r="R9" s="13" t="s">
        <v>79</v>
      </c>
      <c r="S9" s="13">
        <v>7</v>
      </c>
    </row>
    <row r="10" spans="1:19" x14ac:dyDescent="0.25">
      <c r="A10" s="59" t="s">
        <v>68</v>
      </c>
      <c r="B10" s="2" t="s">
        <v>95</v>
      </c>
      <c r="C10" s="10">
        <v>45672</v>
      </c>
      <c r="D10" s="28">
        <f>IFERROR(IF(Tabela15[[#This Row],[DATA DE LICENCIAMENTO]]="","",DATE($K10,$J10,$G10)),"")</f>
        <v>46310</v>
      </c>
      <c r="E10" t="str">
        <f t="shared" si="2"/>
        <v>4</v>
      </c>
      <c r="F10">
        <f t="shared" si="3"/>
        <v>4</v>
      </c>
      <c r="G10" s="30">
        <f t="shared" si="4"/>
        <v>15</v>
      </c>
      <c r="H10" t="str">
        <f t="shared" si="0"/>
        <v>outubro</v>
      </c>
      <c r="I10">
        <f t="shared" si="5"/>
        <v>2026</v>
      </c>
      <c r="J10">
        <f t="shared" si="1"/>
        <v>10</v>
      </c>
      <c r="K10" s="31">
        <f t="shared" si="6"/>
        <v>2026</v>
      </c>
      <c r="L10" s="50" t="str">
        <f ca="1">IF(Tabela15[[#This Row],[DATA VENCIMENTO]]="","",IF(Tabela15[[#This Row],[DATA VENCIMENTO]]&lt;$R$1,"VENCIDO",IF(Tabela15[[#This Row],[DATA VENCIMENTO]]=$R$1,"ULTIMO DIA","DENTRO DO PRAZO")))</f>
        <v>VENCIDO</v>
      </c>
      <c r="O10" s="38">
        <v>7</v>
      </c>
      <c r="P10" s="39" t="s">
        <v>81</v>
      </c>
      <c r="R10" s="13" t="s">
        <v>80</v>
      </c>
      <c r="S10" s="13">
        <v>8</v>
      </c>
    </row>
    <row r="11" spans="1:19" x14ac:dyDescent="0.25">
      <c r="A11" s="60" t="s">
        <v>70</v>
      </c>
      <c r="B11" s="2" t="s">
        <v>99</v>
      </c>
      <c r="C11" s="10">
        <v>45672</v>
      </c>
      <c r="D11" s="28">
        <f>IFERROR(IF(Tabela15[[#This Row],[DATA DE LICENCIAMENTO]]="","",DATE($K11,$J11,$G11)),"")</f>
        <v>46280</v>
      </c>
      <c r="E11" t="str">
        <f t="shared" si="2"/>
        <v>1</v>
      </c>
      <c r="F11">
        <f t="shared" si="3"/>
        <v>1</v>
      </c>
      <c r="G11" s="30">
        <f t="shared" si="4"/>
        <v>15</v>
      </c>
      <c r="H11" t="str">
        <f t="shared" si="0"/>
        <v>setembro</v>
      </c>
      <c r="I11">
        <f t="shared" si="5"/>
        <v>2026</v>
      </c>
      <c r="J11">
        <f t="shared" si="1"/>
        <v>9</v>
      </c>
      <c r="K11" s="31">
        <f t="shared" si="6"/>
        <v>2026</v>
      </c>
      <c r="L11" s="50" t="str">
        <f ca="1">IF(Tabela15[[#This Row],[DATA VENCIMENTO]]="","",IF(Tabela15[[#This Row],[DATA VENCIMENTO]]&lt;$R$1,"VENCIDO",IF(Tabela15[[#This Row],[DATA VENCIMENTO]]=$R$1,"ULTIMO DIA","DENTRO DO PRAZO")))</f>
        <v>VENCIDO</v>
      </c>
      <c r="O11" s="36">
        <v>8</v>
      </c>
      <c r="P11" s="37" t="s">
        <v>81</v>
      </c>
      <c r="R11" s="13" t="s">
        <v>82</v>
      </c>
      <c r="S11" s="13">
        <v>9</v>
      </c>
    </row>
    <row r="12" spans="1:19" x14ac:dyDescent="0.25">
      <c r="A12" s="59"/>
      <c r="D12" s="28" t="str">
        <f>IFERROR(IF(Tabela15[[#This Row],[DATA DE LICENCIAMENTO]]="","",DATE($K12,$J12,$G12)),"")</f>
        <v/>
      </c>
      <c r="E12" t="str">
        <f t="shared" si="2"/>
        <v/>
      </c>
      <c r="F12" t="e">
        <f t="shared" si="3"/>
        <v>#VALUE!</v>
      </c>
      <c r="G12" s="30">
        <f t="shared" si="4"/>
        <v>0</v>
      </c>
      <c r="H12" t="e">
        <f t="shared" si="0"/>
        <v>#VALUE!</v>
      </c>
      <c r="I12">
        <f t="shared" si="5"/>
        <v>1901</v>
      </c>
      <c r="J12" t="str">
        <f t="shared" si="1"/>
        <v/>
      </c>
      <c r="K12" s="31">
        <f t="shared" si="6"/>
        <v>1901</v>
      </c>
      <c r="L12" s="50" t="str">
        <f>IF(Tabela15[[#This Row],[DATA VENCIMENTO]]="","",IF(Tabela15[[#This Row],[DATA VENCIMENTO]]&lt;$R$1,"VENCIDO",IF(Tabela15[[#This Row],[DATA VENCIMENTO]]=$R$1,"ULTIMO DIA","DENTRO DO PRAZO")))</f>
        <v/>
      </c>
      <c r="O12" s="38">
        <v>9</v>
      </c>
      <c r="P12" s="39" t="s">
        <v>84</v>
      </c>
      <c r="R12" s="13" t="s">
        <v>83</v>
      </c>
      <c r="S12" s="13">
        <v>10</v>
      </c>
    </row>
    <row r="13" spans="1:19" ht="15.75" thickBot="1" x14ac:dyDescent="0.3">
      <c r="A13" s="61"/>
      <c r="D13" s="28" t="str">
        <f>IFERROR(IF(Tabela15[[#This Row],[DATA DE LICENCIAMENTO]]="","",DATE($K13,$J13,$G13)),"")</f>
        <v/>
      </c>
      <c r="E13" t="str">
        <f t="shared" si="2"/>
        <v/>
      </c>
      <c r="F13" t="e">
        <f t="shared" si="3"/>
        <v>#VALUE!</v>
      </c>
      <c r="G13" s="30">
        <f t="shared" si="4"/>
        <v>0</v>
      </c>
      <c r="H13" t="e">
        <f t="shared" si="0"/>
        <v>#VALUE!</v>
      </c>
      <c r="I13">
        <f t="shared" si="5"/>
        <v>1901</v>
      </c>
      <c r="J13" t="str">
        <f t="shared" si="1"/>
        <v/>
      </c>
      <c r="K13" s="31">
        <f t="shared" si="6"/>
        <v>1901</v>
      </c>
      <c r="L13" s="50" t="str">
        <f>IF(Tabela15[[#This Row],[DATA VENCIMENTO]]="","",IF(Tabela15[[#This Row],[DATA VENCIMENTO]]&lt;$R$1,"VENCIDO",IF(Tabela15[[#This Row],[DATA VENCIMENTO]]=$R$1,"ULTIMO DIA","DENTRO DO PRAZO")))</f>
        <v/>
      </c>
      <c r="O13" s="40">
        <v>0</v>
      </c>
      <c r="P13" s="41" t="s">
        <v>84</v>
      </c>
      <c r="R13" s="13" t="s">
        <v>85</v>
      </c>
      <c r="S13" s="13">
        <v>11</v>
      </c>
    </row>
    <row r="14" spans="1:19" ht="15.75" thickBot="1" x14ac:dyDescent="0.3">
      <c r="O14" s="42" t="s">
        <v>87</v>
      </c>
      <c r="P14" s="43" t="s">
        <v>88</v>
      </c>
      <c r="R14" s="13" t="s">
        <v>86</v>
      </c>
      <c r="S14" s="13">
        <v>12</v>
      </c>
    </row>
    <row r="16" spans="1:19" x14ac:dyDescent="0.25">
      <c r="B16" s="62"/>
      <c r="C16" s="64"/>
      <c r="D16" s="32"/>
      <c r="E16" s="32"/>
      <c r="F16" s="32"/>
      <c r="G16" s="32"/>
      <c r="H16" s="32"/>
      <c r="I16" s="32"/>
      <c r="J16" s="32"/>
      <c r="K16" s="32"/>
      <c r="L16" s="51"/>
    </row>
    <row r="17" spans="1:16" ht="15.75" thickBot="1" x14ac:dyDescent="0.3">
      <c r="B17" s="63"/>
      <c r="C17" s="65"/>
      <c r="D17" s="33"/>
      <c r="E17" s="33"/>
      <c r="F17" s="33"/>
      <c r="G17" s="33"/>
      <c r="H17" s="33"/>
      <c r="I17" s="33"/>
      <c r="J17" s="33"/>
      <c r="K17" s="33"/>
      <c r="L17" s="52"/>
    </row>
    <row r="18" spans="1:16" ht="15.75" thickBot="1" x14ac:dyDescent="0.3">
      <c r="A18" s="58" t="s">
        <v>110</v>
      </c>
      <c r="B18" s="2" t="s">
        <v>89</v>
      </c>
      <c r="C18" s="10" t="s">
        <v>100</v>
      </c>
      <c r="D18" s="28" t="s">
        <v>101</v>
      </c>
      <c r="E18" t="s">
        <v>87</v>
      </c>
      <c r="F18" t="s">
        <v>71</v>
      </c>
      <c r="G18" t="s">
        <v>102</v>
      </c>
      <c r="H18" t="s">
        <v>103</v>
      </c>
      <c r="I18" t="s">
        <v>104</v>
      </c>
      <c r="J18" t="s">
        <v>105</v>
      </c>
      <c r="K18" t="s">
        <v>106</v>
      </c>
      <c r="L18" s="50" t="s">
        <v>109</v>
      </c>
      <c r="O18" s="78" t="s">
        <v>73</v>
      </c>
      <c r="P18" s="79"/>
    </row>
    <row r="19" spans="1:16" ht="15.75" thickTop="1" x14ac:dyDescent="0.25">
      <c r="A19" s="59"/>
      <c r="D19" s="28" t="str">
        <f>IFERROR(IF(Tabela1517[[#This Row],[DATA DE LICENCIAMENTO]]="","",DATE(K19,J19,G19)),"")</f>
        <v/>
      </c>
      <c r="E19" t="str">
        <f>RIGHT(B19,1)</f>
        <v/>
      </c>
      <c r="F19" t="e">
        <f>VALUE(E19)</f>
        <v>#VALUE!</v>
      </c>
      <c r="G19" s="30">
        <f>DAY(C19)</f>
        <v>0</v>
      </c>
      <c r="H19" t="e">
        <f t="shared" ref="H19:H28" si="7">VLOOKUP(F19,$O$19:$P$28,2,FALSE)</f>
        <v>#VALUE!</v>
      </c>
      <c r="I19">
        <f>VALUE(K19)</f>
        <v>1901</v>
      </c>
      <c r="J19" t="str">
        <f t="shared" ref="J19:J28" si="8">IFERROR(VLOOKUP(H19,$R$3:$S$14,2,FALSE),"")</f>
        <v/>
      </c>
      <c r="K19" s="31">
        <f>YEAR(C19)+1</f>
        <v>1901</v>
      </c>
      <c r="L19" s="50" t="str">
        <f>IF(Tabela1517[[#This Row],[DATA VENCIMENTO]]="","",IF(Tabela1517[[#This Row],[DATA VENCIMENTO]]&lt;$R$1,"VENCIDO",IF(Tabela1517[[#This Row],[DATA VENCIMENTO]]=$R$1,"ULTIMO DIA","DENTRO DO PRAZO")))</f>
        <v/>
      </c>
      <c r="O19" s="44">
        <v>1</v>
      </c>
      <c r="P19" s="44" t="s">
        <v>75</v>
      </c>
    </row>
    <row r="20" spans="1:16" x14ac:dyDescent="0.25">
      <c r="A20" s="60"/>
      <c r="D20" s="28" t="str">
        <f>IFERROR(IF(Tabela1517[[#This Row],[DATA DE LICENCIAMENTO]]="","",DATE(K20,J20,G20)),"")</f>
        <v/>
      </c>
      <c r="E20" t="str">
        <f t="shared" ref="E20:E28" si="9">RIGHT(B20,1)</f>
        <v/>
      </c>
      <c r="F20" t="e">
        <f t="shared" ref="F20:F28" si="10">VALUE(E20)</f>
        <v>#VALUE!</v>
      </c>
      <c r="G20" s="30">
        <f t="shared" ref="G20:G28" si="11">DAY(C20)</f>
        <v>0</v>
      </c>
      <c r="H20" t="e">
        <f t="shared" si="7"/>
        <v>#VALUE!</v>
      </c>
      <c r="I20">
        <f t="shared" ref="I20:I28" si="12">VALUE(K20)</f>
        <v>1901</v>
      </c>
      <c r="J20" t="str">
        <f t="shared" si="8"/>
        <v/>
      </c>
      <c r="K20" s="31">
        <f t="shared" ref="K20:K28" si="13">YEAR(C20)+1</f>
        <v>1901</v>
      </c>
      <c r="L20" s="50" t="str">
        <f>IF(Tabela1517[[#This Row],[DATA VENCIMENTO]]="","",IF(Tabela1517[[#This Row],[DATA VENCIMENTO]]&lt;$R$1,"VENCIDO",IF(Tabela1517[[#This Row],[DATA VENCIMENTO]]=$R$1,"ULTIMO DIA","DENTRO DO PRAZO")))</f>
        <v/>
      </c>
      <c r="O20" s="36">
        <v>2</v>
      </c>
      <c r="P20" s="45" t="s">
        <v>76</v>
      </c>
    </row>
    <row r="21" spans="1:16" x14ac:dyDescent="0.25">
      <c r="A21" s="59"/>
      <c r="D21" s="28" t="str">
        <f>IFERROR(IF(Tabela1517[[#This Row],[DATA DE LICENCIAMENTO]]="","",DATE(K21,J21,G21)),"")</f>
        <v/>
      </c>
      <c r="E21" t="str">
        <f t="shared" si="9"/>
        <v/>
      </c>
      <c r="F21" t="e">
        <f t="shared" si="10"/>
        <v>#VALUE!</v>
      </c>
      <c r="G21" s="30">
        <f t="shared" si="11"/>
        <v>0</v>
      </c>
      <c r="H21" t="e">
        <f t="shared" si="7"/>
        <v>#VALUE!</v>
      </c>
      <c r="I21">
        <f t="shared" si="12"/>
        <v>1901</v>
      </c>
      <c r="J21" t="str">
        <f t="shared" si="8"/>
        <v/>
      </c>
      <c r="K21" s="31">
        <f t="shared" si="13"/>
        <v>1901</v>
      </c>
      <c r="L21" s="50" t="str">
        <f>IF(Tabela1517[[#This Row],[DATA VENCIMENTO]]="","",IF(Tabela1517[[#This Row],[DATA VENCIMENTO]]&lt;$R$1,"VENCIDO",IF(Tabela1517[[#This Row],[DATA VENCIMENTO]]=$R$1,"ULTIMO DIA","DENTRO DO PRAZO")))</f>
        <v/>
      </c>
      <c r="O21" s="36">
        <v>3</v>
      </c>
      <c r="P21" s="45" t="s">
        <v>78</v>
      </c>
    </row>
    <row r="22" spans="1:16" x14ac:dyDescent="0.25">
      <c r="A22" s="60"/>
      <c r="D22" s="28" t="str">
        <f>IFERROR(IF(Tabela1517[[#This Row],[DATA DE LICENCIAMENTO]]="","",DATE(K22,J22,G22)),"")</f>
        <v/>
      </c>
      <c r="E22" t="str">
        <f t="shared" si="9"/>
        <v/>
      </c>
      <c r="F22" t="e">
        <f t="shared" si="10"/>
        <v>#VALUE!</v>
      </c>
      <c r="G22" s="30">
        <f t="shared" si="11"/>
        <v>0</v>
      </c>
      <c r="H22" t="e">
        <f t="shared" si="7"/>
        <v>#VALUE!</v>
      </c>
      <c r="I22">
        <f t="shared" si="12"/>
        <v>1901</v>
      </c>
      <c r="J22" t="str">
        <f t="shared" si="8"/>
        <v/>
      </c>
      <c r="K22" s="31">
        <f t="shared" si="13"/>
        <v>1901</v>
      </c>
      <c r="L22" s="50" t="str">
        <f>IF(Tabela1517[[#This Row],[DATA VENCIMENTO]]="","",IF(Tabela1517[[#This Row],[DATA VENCIMENTO]]&lt;$R$1,"VENCIDO",IF(Tabela1517[[#This Row],[DATA VENCIMENTO]]=$R$1,"ULTIMO DIA","DENTRO DO PRAZO")))</f>
        <v/>
      </c>
      <c r="O22" s="36">
        <v>4</v>
      </c>
      <c r="P22" s="45" t="s">
        <v>79</v>
      </c>
    </row>
    <row r="23" spans="1:16" x14ac:dyDescent="0.25">
      <c r="A23" s="59"/>
      <c r="D23" s="28" t="str">
        <f>IFERROR(IF(Tabela1517[[#This Row],[DATA DE LICENCIAMENTO]]="","",DATE(K23,J23,G23)),"")</f>
        <v/>
      </c>
      <c r="E23" t="str">
        <f t="shared" si="9"/>
        <v/>
      </c>
      <c r="F23" t="e">
        <f t="shared" si="10"/>
        <v>#VALUE!</v>
      </c>
      <c r="G23" s="30">
        <f t="shared" si="11"/>
        <v>0</v>
      </c>
      <c r="H23" t="e">
        <f t="shared" si="7"/>
        <v>#VALUE!</v>
      </c>
      <c r="I23">
        <f t="shared" si="12"/>
        <v>1901</v>
      </c>
      <c r="J23" t="str">
        <f t="shared" si="8"/>
        <v/>
      </c>
      <c r="K23" s="31">
        <f t="shared" si="13"/>
        <v>1901</v>
      </c>
      <c r="L23" s="50" t="str">
        <f>IF(Tabela1517[[#This Row],[DATA VENCIMENTO]]="","",IF(Tabela1517[[#This Row],[DATA VENCIMENTO]]&lt;$R$1,"VENCIDO",IF(Tabela1517[[#This Row],[DATA VENCIMENTO]]=$R$1,"ULTIMO DIA","DENTRO DO PRAZO")))</f>
        <v/>
      </c>
      <c r="O23" s="36">
        <v>5</v>
      </c>
      <c r="P23" s="45" t="s">
        <v>80</v>
      </c>
    </row>
    <row r="24" spans="1:16" x14ac:dyDescent="0.25">
      <c r="A24" s="60"/>
      <c r="D24" s="28" t="str">
        <f>IFERROR(IF(Tabela1517[[#This Row],[DATA DE LICENCIAMENTO]]="","",DATE(K24,J24,G24)),"")</f>
        <v/>
      </c>
      <c r="E24" t="str">
        <f t="shared" si="9"/>
        <v/>
      </c>
      <c r="F24" t="e">
        <f t="shared" si="10"/>
        <v>#VALUE!</v>
      </c>
      <c r="G24" s="30">
        <f t="shared" si="11"/>
        <v>0</v>
      </c>
      <c r="H24" t="e">
        <f t="shared" si="7"/>
        <v>#VALUE!</v>
      </c>
      <c r="I24">
        <f t="shared" si="12"/>
        <v>1901</v>
      </c>
      <c r="J24" t="str">
        <f t="shared" si="8"/>
        <v/>
      </c>
      <c r="K24" s="31">
        <f t="shared" si="13"/>
        <v>1901</v>
      </c>
      <c r="L24" s="50" t="str">
        <f>IF(Tabela1517[[#This Row],[DATA VENCIMENTO]]="","",IF(Tabela1517[[#This Row],[DATA VENCIMENTO]]&lt;$R$1,"VENCIDO",IF(Tabela1517[[#This Row],[DATA VENCIMENTO]]=$R$1,"ULTIMO DIA","DENTRO DO PRAZO")))</f>
        <v/>
      </c>
      <c r="O24" s="36">
        <v>6</v>
      </c>
      <c r="P24" s="45" t="s">
        <v>80</v>
      </c>
    </row>
    <row r="25" spans="1:16" x14ac:dyDescent="0.25">
      <c r="A25" s="59"/>
      <c r="D25" s="28" t="str">
        <f>IFERROR(IF(Tabela1517[[#This Row],[DATA DE LICENCIAMENTO]]="","",DATE(K25,J25,G25)),"")</f>
        <v/>
      </c>
      <c r="E25" t="str">
        <f t="shared" si="9"/>
        <v/>
      </c>
      <c r="F25" t="e">
        <f t="shared" si="10"/>
        <v>#VALUE!</v>
      </c>
      <c r="G25" s="30">
        <f t="shared" si="11"/>
        <v>0</v>
      </c>
      <c r="H25" t="e">
        <f t="shared" si="7"/>
        <v>#VALUE!</v>
      </c>
      <c r="I25">
        <f t="shared" si="12"/>
        <v>1901</v>
      </c>
      <c r="J25" t="str">
        <f t="shared" si="8"/>
        <v/>
      </c>
      <c r="K25" s="31">
        <f t="shared" si="13"/>
        <v>1901</v>
      </c>
      <c r="L25" s="50" t="str">
        <f>IF(Tabela1517[[#This Row],[DATA VENCIMENTO]]="","",IF(Tabela1517[[#This Row],[DATA VENCIMENTO]]&lt;$R$1,"VENCIDO",IF(Tabela1517[[#This Row],[DATA VENCIMENTO]]=$R$1,"ULTIMO DIA","DENTRO DO PRAZO")))</f>
        <v/>
      </c>
      <c r="O25" s="36">
        <v>7</v>
      </c>
      <c r="P25" s="45" t="s">
        <v>82</v>
      </c>
    </row>
    <row r="26" spans="1:16" x14ac:dyDescent="0.25">
      <c r="A26" s="60"/>
      <c r="D26" s="28" t="str">
        <f>IFERROR(IF(Tabela1517[[#This Row],[DATA DE LICENCIAMENTO]]="","",DATE(K26,J26,G26)),"")</f>
        <v/>
      </c>
      <c r="E26" t="str">
        <f t="shared" si="9"/>
        <v/>
      </c>
      <c r="F26" t="e">
        <f t="shared" si="10"/>
        <v>#VALUE!</v>
      </c>
      <c r="G26" s="30">
        <f t="shared" si="11"/>
        <v>0</v>
      </c>
      <c r="H26" t="e">
        <f t="shared" si="7"/>
        <v>#VALUE!</v>
      </c>
      <c r="I26">
        <f t="shared" si="12"/>
        <v>1901</v>
      </c>
      <c r="J26" t="str">
        <f t="shared" si="8"/>
        <v/>
      </c>
      <c r="K26" s="31">
        <f t="shared" si="13"/>
        <v>1901</v>
      </c>
      <c r="L26" s="50" t="str">
        <f>IF(Tabela1517[[#This Row],[DATA VENCIMENTO]]="","",IF(Tabela1517[[#This Row],[DATA VENCIMENTO]]&lt;$R$1,"VENCIDO",IF(Tabela1517[[#This Row],[DATA VENCIMENTO]]=$R$1,"ULTIMO DIA","DENTRO DO PRAZO")))</f>
        <v/>
      </c>
      <c r="O26" s="36">
        <v>8</v>
      </c>
      <c r="P26" s="45" t="s">
        <v>83</v>
      </c>
    </row>
    <row r="27" spans="1:16" x14ac:dyDescent="0.25">
      <c r="A27" s="59"/>
      <c r="D27" s="28" t="str">
        <f>IFERROR(IF(Tabela1517[[#This Row],[DATA DE LICENCIAMENTO]]="","",DATE(K27,J27,G27)),"")</f>
        <v/>
      </c>
      <c r="E27" t="str">
        <f t="shared" si="9"/>
        <v/>
      </c>
      <c r="F27" t="e">
        <f t="shared" si="10"/>
        <v>#VALUE!</v>
      </c>
      <c r="G27" s="30">
        <f t="shared" si="11"/>
        <v>0</v>
      </c>
      <c r="H27" t="e">
        <f t="shared" si="7"/>
        <v>#VALUE!</v>
      </c>
      <c r="I27">
        <f t="shared" si="12"/>
        <v>1901</v>
      </c>
      <c r="J27" t="str">
        <f t="shared" si="8"/>
        <v/>
      </c>
      <c r="K27" s="31">
        <f t="shared" si="13"/>
        <v>1901</v>
      </c>
      <c r="L27" s="50" t="str">
        <f>IF(Tabela1517[[#This Row],[DATA VENCIMENTO]]="","",IF(Tabela1517[[#This Row],[DATA VENCIMENTO]]&lt;$R$1,"VENCIDO",IF(Tabela1517[[#This Row],[DATA VENCIMENTO]]=$R$1,"ULTIMO DIA","DENTRO DO PRAZO")))</f>
        <v/>
      </c>
      <c r="O27" s="36">
        <v>9</v>
      </c>
      <c r="P27" s="45" t="s">
        <v>85</v>
      </c>
    </row>
    <row r="28" spans="1:16" ht="15.75" thickBot="1" x14ac:dyDescent="0.3">
      <c r="A28" s="61"/>
      <c r="D28" s="28" t="str">
        <f>IFERROR(IF(Tabela1517[[#This Row],[DATA DE LICENCIAMENTO]]="","",DATE(K28,J28,G28)),"")</f>
        <v/>
      </c>
      <c r="E28" t="str">
        <f t="shared" si="9"/>
        <v/>
      </c>
      <c r="F28" t="e">
        <f t="shared" si="10"/>
        <v>#VALUE!</v>
      </c>
      <c r="G28" s="30">
        <f t="shared" si="11"/>
        <v>0</v>
      </c>
      <c r="H28" t="e">
        <f t="shared" si="7"/>
        <v>#VALUE!</v>
      </c>
      <c r="I28">
        <f t="shared" si="12"/>
        <v>1901</v>
      </c>
      <c r="J28" t="str">
        <f t="shared" si="8"/>
        <v/>
      </c>
      <c r="K28" s="31">
        <f t="shared" si="13"/>
        <v>1901</v>
      </c>
      <c r="L28" s="50" t="str">
        <f>IF(Tabela1517[[#This Row],[DATA VENCIMENTO]]="","",IF(Tabela1517[[#This Row],[DATA VENCIMENTO]]&lt;$R$1,"VENCIDO",IF(Tabela1517[[#This Row],[DATA VENCIMENTO]]=$R$1,"ULTIMO DIA","DENTRO DO PRAZO")))</f>
        <v/>
      </c>
      <c r="O28" s="46">
        <v>0</v>
      </c>
      <c r="P28" s="45" t="s">
        <v>86</v>
      </c>
    </row>
    <row r="29" spans="1:16" ht="15.75" thickBot="1" x14ac:dyDescent="0.3">
      <c r="O29" s="47" t="s">
        <v>87</v>
      </c>
      <c r="P29" s="48" t="s">
        <v>88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O3:P3"/>
    <mergeCell ref="O18:P18"/>
  </mergeCells>
  <phoneticPr fontId="11" type="noConversion"/>
  <conditionalFormatting sqref="K3">
    <cfRule type="containsText" dxfId="1540" priority="1" operator="containsText" text="VENCIDO">
      <formula>NOT(ISERROR(SEARCH("VENCIDO",K3)))</formula>
    </cfRule>
    <cfRule type="containsText" dxfId="1539" priority="2" operator="containsText" text="ULTIMO DIA">
      <formula>NOT(ISERROR(SEARCH("ULTIMO DIA",K3)))</formula>
    </cfRule>
    <cfRule type="containsText" dxfId="1538" priority="3" operator="containsText" text="ULTIMO DIA ">
      <formula>NOT(ISERROR(SEARCH("ULTIMO DIA ",K3)))</formula>
    </cfRule>
    <cfRule type="containsText" dxfId="1537" priority="4" operator="containsText" text="DENTRO DO PRAZO">
      <formula>NOT(ISERROR(SEARCH("DENTRO DO PRAZO",K3)))</formula>
    </cfRule>
  </conditionalFormatting>
  <conditionalFormatting sqref="L1:L1048576">
    <cfRule type="containsText" dxfId="1536" priority="5" operator="containsText" text="VENCIDO">
      <formula>NOT(ISERROR(SEARCH("VENCIDO",L1)))</formula>
    </cfRule>
    <cfRule type="containsText" dxfId="1535" priority="6" operator="containsText" text="ULTIMO DIA">
      <formula>NOT(ISERROR(SEARCH("ULTIMO DIA",L1)))</formula>
    </cfRule>
    <cfRule type="containsText" dxfId="1534" priority="7" operator="containsText" text="ULTIMO DIA ">
      <formula>NOT(ISERROR(SEARCH("ULTIMO DIA ",L1)))</formula>
    </cfRule>
    <cfRule type="containsText" dxfId="1533" priority="8" operator="containsText" text="DENTRO DO PRAZO">
      <formula>NOT(ISERROR(SEARCH("DENTRO DO PRAZO",L1)))</formula>
    </cfRule>
  </conditionalFormatting>
  <dataValidations disablePrompts="1" count="2">
    <dataValidation type="list" allowBlank="1" showInputMessage="1" showErrorMessage="1" errorTitle="NÃO CADASTRADO" error="POR FAVOR CADASTRAR O TIPO NA GUIA CADASTRO." sqref="A4:A13" xr:uid="{FB028F46-B124-400F-981D-8D9F3DE4C8BF}">
      <formula1>INDIRECT("VEICULOS_LICENCIAMENTO")</formula1>
    </dataValidation>
    <dataValidation type="list" allowBlank="1" showInputMessage="1" showErrorMessage="1" sqref="A19:A28" xr:uid="{7E6BAD52-1199-417F-9D05-3F733D7F3D30}">
      <formula1>INDIRECT("VEICULOS_LICENCIAMENTO")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BB0DD95-4C4D-4DAA-8855-DB2E5D6CEC09}">
          <x14:formula1>
            <xm:f>INDIRECT(CADASTRO!$J$5:$J$12)</xm:f>
          </x14:formula1>
          <xm:sqref>A3 A18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BE73-D6A4-4935-A58E-0F1355D8CFD3}">
  <dimension ref="A2:M79"/>
  <sheetViews>
    <sheetView showGridLines="0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1" width="13.7109375" bestFit="1" customWidth="1"/>
    <col min="2" max="2" width="3.7109375" customWidth="1"/>
    <col min="3" max="3" width="13" customWidth="1"/>
    <col min="4" max="4" width="4.28515625" customWidth="1"/>
    <col min="5" max="5" width="26.28515625" bestFit="1" customWidth="1"/>
    <col min="6" max="6" width="4.85546875" customWidth="1"/>
    <col min="7" max="7" width="26.28515625" bestFit="1" customWidth="1"/>
    <col min="9" max="11" width="27.85546875" bestFit="1" customWidth="1"/>
  </cols>
  <sheetData>
    <row r="2" spans="1:13" ht="82.5" customHeight="1" x14ac:dyDescent="0.25"/>
    <row r="3" spans="1:13" ht="61.5" customHeight="1" x14ac:dyDescent="0.25">
      <c r="A3" s="80" t="s">
        <v>26</v>
      </c>
      <c r="B3" s="80"/>
      <c r="C3" s="80"/>
      <c r="D3" s="80"/>
      <c r="E3" s="80"/>
      <c r="G3" s="81" t="s">
        <v>29</v>
      </c>
      <c r="H3" s="82"/>
      <c r="I3" s="82"/>
      <c r="J3" s="82"/>
      <c r="K3" s="82"/>
    </row>
    <row r="4" spans="1:13" x14ac:dyDescent="0.25">
      <c r="A4" s="13" t="s">
        <v>4</v>
      </c>
      <c r="B4" s="13"/>
      <c r="C4" s="13" t="s">
        <v>10</v>
      </c>
      <c r="D4" s="13"/>
      <c r="E4" s="13" t="s">
        <v>22</v>
      </c>
      <c r="G4" s="13" t="s">
        <v>24</v>
      </c>
      <c r="H4" s="13"/>
      <c r="I4" s="15" t="s">
        <v>111</v>
      </c>
      <c r="J4" t="s">
        <v>117</v>
      </c>
      <c r="K4" t="s">
        <v>118</v>
      </c>
    </row>
    <row r="5" spans="1:13" x14ac:dyDescent="0.25">
      <c r="A5" s="13" t="s">
        <v>8</v>
      </c>
      <c r="B5" s="13"/>
      <c r="C5" s="13" t="s">
        <v>5</v>
      </c>
      <c r="D5" s="13"/>
      <c r="E5" s="13" t="s">
        <v>16</v>
      </c>
      <c r="G5" s="13" t="s">
        <v>30</v>
      </c>
      <c r="H5" s="13"/>
      <c r="I5" s="14" t="s">
        <v>27</v>
      </c>
      <c r="J5" s="53" t="s">
        <v>62</v>
      </c>
      <c r="K5" s="53" t="s">
        <v>62</v>
      </c>
    </row>
    <row r="6" spans="1:13" x14ac:dyDescent="0.25">
      <c r="A6" s="13" t="s">
        <v>11</v>
      </c>
      <c r="B6" s="13"/>
      <c r="C6" s="13" t="s">
        <v>7</v>
      </c>
      <c r="D6" s="13"/>
      <c r="E6" s="13" t="s">
        <v>18</v>
      </c>
      <c r="G6" s="13" t="s">
        <v>117</v>
      </c>
      <c r="H6" s="13"/>
      <c r="I6" s="16" t="s">
        <v>28</v>
      </c>
      <c r="J6" s="54" t="s">
        <v>64</v>
      </c>
      <c r="K6" s="54" t="s">
        <v>64</v>
      </c>
    </row>
    <row r="7" spans="1:13" x14ac:dyDescent="0.25">
      <c r="A7" s="13" t="s">
        <v>9</v>
      </c>
      <c r="B7" s="13"/>
      <c r="C7" s="13"/>
      <c r="D7" s="13"/>
      <c r="E7" s="13" t="s">
        <v>31</v>
      </c>
      <c r="G7" s="13" t="s">
        <v>118</v>
      </c>
      <c r="H7" s="13"/>
      <c r="I7" s="14" t="s">
        <v>112</v>
      </c>
      <c r="J7" s="53" t="s">
        <v>65</v>
      </c>
      <c r="K7" s="53" t="s">
        <v>65</v>
      </c>
    </row>
    <row r="8" spans="1:13" x14ac:dyDescent="0.25">
      <c r="A8" s="13" t="s">
        <v>6</v>
      </c>
      <c r="B8" s="13"/>
      <c r="C8" s="13"/>
      <c r="D8" s="13"/>
      <c r="E8" s="13" t="s">
        <v>41</v>
      </c>
      <c r="G8" s="16"/>
      <c r="H8" s="13"/>
      <c r="I8" s="14" t="s">
        <v>113</v>
      </c>
      <c r="J8" s="54" t="s">
        <v>63</v>
      </c>
      <c r="K8" s="54" t="s">
        <v>63</v>
      </c>
    </row>
    <row r="9" spans="1:13" x14ac:dyDescent="0.25">
      <c r="A9" s="16" t="s">
        <v>10</v>
      </c>
      <c r="B9" s="13"/>
      <c r="C9" s="13"/>
      <c r="D9" s="13"/>
      <c r="E9" s="13" t="s">
        <v>19</v>
      </c>
      <c r="G9" s="16"/>
      <c r="H9" s="13"/>
      <c r="I9" s="14" t="s">
        <v>114</v>
      </c>
      <c r="J9" s="53" t="s">
        <v>66</v>
      </c>
      <c r="K9" s="53" t="s">
        <v>66</v>
      </c>
    </row>
    <row r="10" spans="1:13" x14ac:dyDescent="0.25">
      <c r="A10" s="13"/>
      <c r="B10" s="13"/>
      <c r="C10" s="13"/>
      <c r="D10" s="13"/>
      <c r="E10" s="13" t="s">
        <v>147</v>
      </c>
      <c r="G10" s="13"/>
      <c r="H10" s="13"/>
      <c r="I10" s="14" t="s">
        <v>115</v>
      </c>
      <c r="J10" s="54" t="s">
        <v>67</v>
      </c>
      <c r="K10" s="54" t="s">
        <v>67</v>
      </c>
    </row>
    <row r="11" spans="1:13" x14ac:dyDescent="0.25">
      <c r="A11" s="13"/>
      <c r="B11" s="13"/>
      <c r="C11" s="13"/>
      <c r="D11" s="13"/>
      <c r="E11" s="13" t="s">
        <v>17</v>
      </c>
      <c r="G11" s="13"/>
      <c r="H11" s="13"/>
      <c r="I11" s="14" t="s">
        <v>116</v>
      </c>
      <c r="J11" s="53" t="s">
        <v>68</v>
      </c>
      <c r="K11" s="53" t="s">
        <v>68</v>
      </c>
    </row>
    <row r="12" spans="1:13" x14ac:dyDescent="0.25">
      <c r="A12" s="13"/>
      <c r="B12" s="13"/>
      <c r="C12" s="13"/>
      <c r="D12" s="13"/>
      <c r="E12" s="18" t="s">
        <v>152</v>
      </c>
      <c r="G12" s="13"/>
      <c r="H12" s="13"/>
      <c r="I12" s="14"/>
      <c r="J12" s="55" t="s">
        <v>120</v>
      </c>
      <c r="K12" s="55" t="s">
        <v>120</v>
      </c>
    </row>
    <row r="13" spans="1:13" x14ac:dyDescent="0.25">
      <c r="A13" s="13"/>
      <c r="B13" s="13"/>
      <c r="C13" s="13"/>
      <c r="D13" s="13"/>
      <c r="E13" s="18" t="s">
        <v>122</v>
      </c>
      <c r="G13" s="13"/>
      <c r="H13" s="13"/>
      <c r="I13" s="13"/>
    </row>
    <row r="14" spans="1:13" x14ac:dyDescent="0.25">
      <c r="A14" s="13"/>
      <c r="B14" s="13"/>
      <c r="C14" s="13"/>
      <c r="D14" s="13"/>
      <c r="E14" s="18" t="s">
        <v>44</v>
      </c>
      <c r="G14" s="13"/>
      <c r="H14" s="13"/>
      <c r="I14" s="13"/>
      <c r="M14" s="7" t="s">
        <v>15</v>
      </c>
    </row>
    <row r="15" spans="1:13" x14ac:dyDescent="0.25">
      <c r="A15" s="13"/>
      <c r="B15" s="13"/>
      <c r="C15" s="13"/>
      <c r="D15" s="13"/>
      <c r="E15" s="18" t="s">
        <v>49</v>
      </c>
      <c r="G15" s="13"/>
      <c r="H15" s="13"/>
      <c r="I15" s="13"/>
      <c r="M15" t="s">
        <v>14</v>
      </c>
    </row>
    <row r="16" spans="1:13" x14ac:dyDescent="0.25">
      <c r="A16" s="13"/>
      <c r="B16" s="13"/>
      <c r="C16" s="13"/>
      <c r="D16" s="13"/>
      <c r="E16" s="18" t="s">
        <v>21</v>
      </c>
      <c r="G16" s="13"/>
      <c r="H16" s="13"/>
      <c r="I16" s="13"/>
    </row>
    <row r="17" spans="1:9" x14ac:dyDescent="0.25">
      <c r="A17" s="13"/>
      <c r="B17" s="13"/>
      <c r="C17" s="13"/>
      <c r="D17" s="13"/>
      <c r="E17" s="18" t="s">
        <v>20</v>
      </c>
      <c r="G17" s="13"/>
      <c r="H17" s="13"/>
      <c r="I17" s="13"/>
    </row>
    <row r="18" spans="1:9" x14ac:dyDescent="0.25">
      <c r="A18" s="13"/>
      <c r="B18" s="13"/>
      <c r="C18" s="13"/>
      <c r="D18" s="13"/>
      <c r="E18" s="18" t="s">
        <v>59</v>
      </c>
      <c r="G18" s="13"/>
      <c r="H18" s="13"/>
      <c r="I18" s="13"/>
    </row>
    <row r="19" spans="1:9" x14ac:dyDescent="0.25">
      <c r="A19" s="13"/>
      <c r="B19" s="13"/>
      <c r="C19" s="13"/>
      <c r="D19" s="13"/>
      <c r="E19" s="18" t="s">
        <v>180</v>
      </c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G24" s="13"/>
      <c r="H24" s="13"/>
      <c r="I24" s="13"/>
    </row>
    <row r="25" spans="1:9" x14ac:dyDescent="0.25">
      <c r="A25" s="13"/>
      <c r="B25" s="13"/>
      <c r="C25" s="13"/>
      <c r="D25" s="13"/>
      <c r="E25" s="13"/>
      <c r="G25" s="13"/>
      <c r="H25" s="13"/>
      <c r="I25" s="13"/>
    </row>
    <row r="26" spans="1:9" x14ac:dyDescent="0.25">
      <c r="A26" s="13"/>
      <c r="B26" s="13"/>
      <c r="C26" s="13"/>
      <c r="D26" s="13"/>
      <c r="E26" s="13"/>
      <c r="G26" s="13"/>
      <c r="H26" s="13"/>
      <c r="I26" s="13"/>
    </row>
    <row r="27" spans="1:9" x14ac:dyDescent="0.25">
      <c r="A27" s="13"/>
      <c r="B27" s="13"/>
      <c r="C27" s="13"/>
      <c r="D27" s="13"/>
      <c r="E27" s="13"/>
      <c r="G27" s="13"/>
      <c r="H27" s="13"/>
      <c r="I27" s="13"/>
    </row>
    <row r="28" spans="1:9" x14ac:dyDescent="0.25">
      <c r="A28" s="13"/>
      <c r="B28" s="13"/>
      <c r="C28" s="13"/>
      <c r="D28" s="13"/>
      <c r="E28" s="13"/>
      <c r="G28" s="13"/>
      <c r="H28" s="13"/>
      <c r="I28" s="13"/>
    </row>
    <row r="29" spans="1:9" x14ac:dyDescent="0.25">
      <c r="A29" s="13"/>
      <c r="B29" s="13"/>
      <c r="C29" s="13"/>
      <c r="D29" s="13"/>
      <c r="E29" s="13"/>
      <c r="G29" s="13"/>
      <c r="H29" s="13"/>
      <c r="I29" s="13"/>
    </row>
    <row r="30" spans="1:9" x14ac:dyDescent="0.25">
      <c r="A30" s="13"/>
      <c r="B30" s="13"/>
      <c r="C30" s="13"/>
      <c r="D30" s="13"/>
      <c r="E30" s="13"/>
      <c r="G30" s="13"/>
      <c r="H30" s="13"/>
      <c r="I30" s="13"/>
    </row>
    <row r="31" spans="1:9" x14ac:dyDescent="0.25">
      <c r="A31" s="13"/>
      <c r="B31" s="13"/>
      <c r="C31" s="13"/>
      <c r="D31" s="13"/>
      <c r="E31" s="13"/>
      <c r="G31" s="13"/>
      <c r="H31" s="13"/>
      <c r="I31" s="13"/>
    </row>
    <row r="32" spans="1:9" x14ac:dyDescent="0.25">
      <c r="A32" s="13"/>
      <c r="B32" s="13"/>
      <c r="C32" s="13"/>
      <c r="D32" s="13"/>
      <c r="E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G41" s="13"/>
      <c r="H41" s="13"/>
      <c r="I41" s="13"/>
    </row>
    <row r="42" spans="1:9" x14ac:dyDescent="0.25">
      <c r="A42" s="13"/>
      <c r="B42" s="13"/>
      <c r="C42" s="13"/>
      <c r="D42" s="13"/>
      <c r="E42" s="13"/>
      <c r="G42" s="13"/>
      <c r="H42" s="13"/>
      <c r="I42" s="13"/>
    </row>
    <row r="43" spans="1:9" x14ac:dyDescent="0.25">
      <c r="A43" s="13"/>
      <c r="B43" s="13"/>
      <c r="C43" s="13"/>
      <c r="D43" s="13"/>
      <c r="E43" s="13"/>
      <c r="G43" s="13"/>
      <c r="H43" s="13"/>
      <c r="I43" s="13"/>
    </row>
    <row r="44" spans="1:9" x14ac:dyDescent="0.25">
      <c r="A44" s="13"/>
      <c r="B44" s="13"/>
      <c r="C44" s="13"/>
      <c r="D44" s="13"/>
      <c r="E44" s="13"/>
      <c r="G44" s="13"/>
      <c r="H44" s="13"/>
      <c r="I44" s="13"/>
    </row>
    <row r="45" spans="1:9" x14ac:dyDescent="0.25">
      <c r="A45" s="13"/>
      <c r="B45" s="13"/>
      <c r="C45" s="13"/>
      <c r="D45" s="13"/>
      <c r="E45" s="13"/>
      <c r="G45" s="13"/>
      <c r="H45" s="13"/>
      <c r="I45" s="13"/>
    </row>
    <row r="46" spans="1:9" x14ac:dyDescent="0.25">
      <c r="A46" s="13"/>
      <c r="B46" s="13"/>
      <c r="C46" s="13"/>
      <c r="D46" s="13"/>
      <c r="E46" s="13"/>
      <c r="G46" s="13"/>
      <c r="H46" s="13"/>
      <c r="I46" s="13"/>
    </row>
    <row r="47" spans="1:9" x14ac:dyDescent="0.25">
      <c r="A47" s="13"/>
      <c r="B47" s="13"/>
      <c r="C47" s="13"/>
      <c r="D47" s="13"/>
      <c r="E47" s="13"/>
      <c r="G47" s="13"/>
      <c r="H47" s="13"/>
      <c r="I47" s="13"/>
    </row>
    <row r="48" spans="1:9" x14ac:dyDescent="0.25">
      <c r="A48" s="13"/>
      <c r="B48" s="13"/>
      <c r="C48" s="13"/>
      <c r="D48" s="13"/>
      <c r="E48" s="13"/>
      <c r="G48" s="13"/>
      <c r="H48" s="13"/>
      <c r="I48" s="13"/>
    </row>
    <row r="49" spans="1:9" x14ac:dyDescent="0.25">
      <c r="A49" s="13"/>
      <c r="B49" s="13"/>
      <c r="C49" s="13"/>
      <c r="D49" s="13"/>
      <c r="E49" s="13"/>
      <c r="G49" s="13"/>
      <c r="H49" s="13"/>
      <c r="I49" s="13"/>
    </row>
    <row r="50" spans="1:9" x14ac:dyDescent="0.25">
      <c r="A50" s="13"/>
      <c r="B50" s="13"/>
      <c r="C50" s="13"/>
      <c r="D50" s="13"/>
      <c r="E50" s="13"/>
      <c r="G50" s="13"/>
      <c r="H50" s="13"/>
      <c r="I50" s="13"/>
    </row>
    <row r="51" spans="1:9" x14ac:dyDescent="0.25">
      <c r="A51" s="13"/>
      <c r="B51" s="13"/>
      <c r="C51" s="13"/>
      <c r="D51" s="13"/>
      <c r="E51" s="13"/>
      <c r="G51" s="13"/>
      <c r="H51" s="13"/>
      <c r="I51" s="13"/>
    </row>
    <row r="52" spans="1:9" x14ac:dyDescent="0.25">
      <c r="A52" s="13"/>
      <c r="B52" s="13"/>
      <c r="C52" s="13"/>
      <c r="D52" s="13"/>
      <c r="E52" s="13"/>
      <c r="G52" s="13"/>
      <c r="H52" s="13"/>
      <c r="I52" s="13"/>
    </row>
    <row r="53" spans="1:9" x14ac:dyDescent="0.25">
      <c r="A53" s="13"/>
      <c r="B53" s="13"/>
      <c r="C53" s="13"/>
      <c r="D53" s="13"/>
      <c r="E53" s="13"/>
      <c r="G53" s="13"/>
      <c r="H53" s="13"/>
      <c r="I53" s="13"/>
    </row>
    <row r="54" spans="1:9" x14ac:dyDescent="0.25">
      <c r="A54" s="13"/>
      <c r="B54" s="13"/>
      <c r="C54" s="13"/>
      <c r="D54" s="13"/>
      <c r="E54" s="13"/>
      <c r="G54" s="13"/>
      <c r="H54" s="13"/>
      <c r="I54" s="13"/>
    </row>
    <row r="55" spans="1:9" x14ac:dyDescent="0.25">
      <c r="A55" s="13"/>
      <c r="B55" s="13"/>
      <c r="C55" s="13"/>
      <c r="D55" s="13"/>
      <c r="E55" s="13"/>
      <c r="G55" s="13"/>
      <c r="H55" s="13"/>
      <c r="I55" s="13"/>
    </row>
    <row r="56" spans="1:9" x14ac:dyDescent="0.25">
      <c r="A56" s="13"/>
      <c r="B56" s="13"/>
      <c r="C56" s="13"/>
      <c r="D56" s="13"/>
      <c r="E56" s="13"/>
      <c r="G56" s="13"/>
      <c r="H56" s="13"/>
      <c r="I56" s="13"/>
    </row>
    <row r="57" spans="1:9" x14ac:dyDescent="0.25">
      <c r="A57" s="13"/>
      <c r="B57" s="13"/>
      <c r="C57" s="13"/>
      <c r="D57" s="13"/>
      <c r="E57" s="13"/>
      <c r="G57" s="13"/>
      <c r="H57" s="13"/>
      <c r="I57" s="13"/>
    </row>
    <row r="58" spans="1:9" x14ac:dyDescent="0.25">
      <c r="A58" s="13"/>
      <c r="B58" s="13"/>
      <c r="C58" s="13"/>
      <c r="D58" s="13"/>
      <c r="E58" s="13"/>
      <c r="G58" s="13"/>
      <c r="H58" s="13"/>
      <c r="I58" s="13"/>
    </row>
    <row r="59" spans="1:9" x14ac:dyDescent="0.25">
      <c r="A59" s="13"/>
      <c r="B59" s="13"/>
      <c r="C59" s="13"/>
      <c r="D59" s="13"/>
      <c r="E59" s="13"/>
      <c r="G59" s="13"/>
      <c r="H59" s="13"/>
      <c r="I59" s="13"/>
    </row>
    <row r="60" spans="1:9" x14ac:dyDescent="0.25">
      <c r="A60" s="13"/>
      <c r="B60" s="13"/>
      <c r="C60" s="13"/>
      <c r="D60" s="13"/>
      <c r="E60" s="13"/>
      <c r="G60" s="13"/>
      <c r="H60" s="13"/>
      <c r="I60" s="13"/>
    </row>
    <row r="61" spans="1:9" x14ac:dyDescent="0.25">
      <c r="A61" s="13"/>
      <c r="B61" s="13"/>
      <c r="C61" s="13"/>
      <c r="D61" s="13"/>
      <c r="E61" s="13"/>
      <c r="G61" s="13"/>
      <c r="H61" s="13"/>
      <c r="I61" s="13"/>
    </row>
    <row r="62" spans="1:9" x14ac:dyDescent="0.25">
      <c r="A62" s="13"/>
      <c r="B62" s="13"/>
      <c r="C62" s="13"/>
      <c r="D62" s="13"/>
      <c r="E62" s="13"/>
      <c r="G62" s="13"/>
      <c r="H62" s="13"/>
      <c r="I62" s="13"/>
    </row>
    <row r="63" spans="1:9" x14ac:dyDescent="0.25">
      <c r="A63" s="13"/>
      <c r="B63" s="13"/>
      <c r="C63" s="13"/>
      <c r="D63" s="13"/>
      <c r="E63" s="13"/>
      <c r="G63" s="13"/>
      <c r="H63" s="13"/>
      <c r="I63" s="13"/>
    </row>
    <row r="64" spans="1:9" x14ac:dyDescent="0.25">
      <c r="A64" s="13"/>
      <c r="B64" s="13"/>
      <c r="C64" s="13"/>
      <c r="D64" s="13"/>
      <c r="E64" s="13"/>
      <c r="G64" s="13"/>
      <c r="H64" s="13"/>
      <c r="I64" s="13"/>
    </row>
    <row r="65" spans="1:9" x14ac:dyDescent="0.25">
      <c r="A65" s="13"/>
      <c r="B65" s="13"/>
      <c r="C65" s="13"/>
      <c r="D65" s="13"/>
      <c r="E65" s="13"/>
      <c r="G65" s="13"/>
      <c r="H65" s="13"/>
      <c r="I65" s="13"/>
    </row>
    <row r="66" spans="1:9" x14ac:dyDescent="0.25">
      <c r="A66" s="13"/>
      <c r="B66" s="13"/>
      <c r="C66" s="13"/>
      <c r="D66" s="13"/>
      <c r="E66" s="13"/>
      <c r="G66" s="13"/>
      <c r="H66" s="13"/>
      <c r="I66" s="13"/>
    </row>
    <row r="67" spans="1:9" x14ac:dyDescent="0.25">
      <c r="A67" s="13"/>
      <c r="B67" s="13"/>
      <c r="C67" s="13"/>
      <c r="D67" s="13"/>
      <c r="E67" s="13"/>
      <c r="G67" s="13"/>
      <c r="H67" s="13"/>
      <c r="I67" s="13"/>
    </row>
    <row r="68" spans="1:9" x14ac:dyDescent="0.25">
      <c r="A68" s="13"/>
      <c r="B68" s="13"/>
      <c r="C68" s="13"/>
      <c r="D68" s="13"/>
      <c r="E68" s="13"/>
      <c r="G68" s="13"/>
      <c r="H68" s="13"/>
      <c r="I68" s="13"/>
    </row>
    <row r="69" spans="1:9" x14ac:dyDescent="0.25">
      <c r="A69" s="13"/>
      <c r="B69" s="13"/>
      <c r="C69" s="13"/>
      <c r="D69" s="13"/>
      <c r="E69" s="13"/>
      <c r="G69" s="13"/>
      <c r="H69" s="13"/>
      <c r="I69" s="13"/>
    </row>
    <row r="70" spans="1:9" x14ac:dyDescent="0.25">
      <c r="A70" s="13"/>
      <c r="B70" s="13"/>
      <c r="C70" s="13"/>
      <c r="D70" s="13"/>
      <c r="E70" s="13"/>
      <c r="G70" s="13"/>
      <c r="H70" s="13"/>
      <c r="I70" s="13"/>
    </row>
    <row r="71" spans="1:9" x14ac:dyDescent="0.25">
      <c r="A71" s="13"/>
      <c r="B71" s="13"/>
      <c r="C71" s="13"/>
      <c r="D71" s="13"/>
      <c r="E71" s="13"/>
      <c r="G71" s="13"/>
      <c r="H71" s="13"/>
      <c r="I71" s="13"/>
    </row>
    <row r="72" spans="1:9" x14ac:dyDescent="0.25">
      <c r="A72" s="13"/>
      <c r="B72" s="13"/>
      <c r="C72" s="13"/>
      <c r="D72" s="13"/>
      <c r="E72" s="13"/>
      <c r="G72" s="13"/>
      <c r="H72" s="13"/>
      <c r="I72" s="13"/>
    </row>
    <row r="73" spans="1:9" x14ac:dyDescent="0.25">
      <c r="A73" s="13"/>
      <c r="B73" s="13"/>
      <c r="C73" s="13"/>
      <c r="D73" s="13"/>
      <c r="E73" s="13"/>
      <c r="G73" s="13"/>
      <c r="H73" s="13"/>
      <c r="I73" s="13"/>
    </row>
    <row r="74" spans="1:9" x14ac:dyDescent="0.25">
      <c r="A74" s="13"/>
      <c r="B74" s="13"/>
      <c r="C74" s="13"/>
      <c r="D74" s="13"/>
      <c r="E74" s="13"/>
      <c r="G74" s="13"/>
      <c r="H74" s="13"/>
      <c r="I74" s="13"/>
    </row>
    <row r="75" spans="1:9" x14ac:dyDescent="0.25">
      <c r="A75" s="13"/>
      <c r="B75" s="13"/>
      <c r="C75" s="13"/>
      <c r="D75" s="13"/>
      <c r="E75" s="13"/>
      <c r="G75" s="13"/>
      <c r="H75" s="13"/>
      <c r="I75" s="13"/>
    </row>
    <row r="76" spans="1:9" x14ac:dyDescent="0.25">
      <c r="A76" s="13"/>
      <c r="B76" s="13"/>
      <c r="C76" s="13"/>
      <c r="D76" s="13"/>
      <c r="E76" s="13"/>
      <c r="G76" s="13"/>
      <c r="H76" s="13"/>
      <c r="I76" s="13"/>
    </row>
    <row r="77" spans="1:9" x14ac:dyDescent="0.25">
      <c r="A77" s="13"/>
      <c r="B77" s="13"/>
      <c r="C77" s="13"/>
      <c r="D77" s="13"/>
      <c r="E77" s="13"/>
      <c r="G77" s="13"/>
      <c r="H77" s="13"/>
      <c r="I77" s="13"/>
    </row>
    <row r="78" spans="1:9" x14ac:dyDescent="0.25">
      <c r="A78" s="13"/>
      <c r="B78" s="13"/>
      <c r="C78" s="13"/>
      <c r="D78" s="13"/>
      <c r="E78" s="13"/>
      <c r="G78" s="13"/>
      <c r="H78" s="13"/>
      <c r="I78" s="13"/>
    </row>
    <row r="79" spans="1:9" x14ac:dyDescent="0.25">
      <c r="A79" s="13"/>
      <c r="B79" s="13"/>
      <c r="C79" s="13"/>
      <c r="D79" s="13"/>
      <c r="E79" s="13"/>
      <c r="G79" s="13"/>
      <c r="H79" s="13"/>
      <c r="I79" s="13"/>
    </row>
  </sheetData>
  <mergeCells count="2">
    <mergeCell ref="A3:E3"/>
    <mergeCell ref="G3:K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ANALISE DE DADOS</vt:lpstr>
      <vt:lpstr>CONTROLE CONTRATOS </vt:lpstr>
      <vt:lpstr>CONTROLE  ADMINISTRATIVO</vt:lpstr>
      <vt:lpstr>CONSULTA VENCIMENTO VEICULAR</vt:lpstr>
      <vt:lpstr>CADASTRO</vt:lpstr>
      <vt:lpstr>'CONTROLE CONTRATOS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JCSILVA Administrativo</dc:creator>
  <cp:lastModifiedBy>JCSILVA Administrativo</cp:lastModifiedBy>
  <cp:lastPrinted>2026-10-16T18:12:18Z</cp:lastPrinted>
  <dcterms:created xsi:type="dcterms:W3CDTF">2025-06-26T16:45:35Z</dcterms:created>
  <dcterms:modified xsi:type="dcterms:W3CDTF">2026-10-23T17:30:33Z</dcterms:modified>
</cp:coreProperties>
</file>